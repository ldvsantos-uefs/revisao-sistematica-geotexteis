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sbr-my.sharepoint.com/personal/201600111492_office_ufs_br/Documents/ACADEMICO/UFS/POS/ARTIGOS/ARTIGOS PUBLICADOS/ARTIGO GEOTEXTEIS (CIENCIA FLORESTAL)/"/>
    </mc:Choice>
  </mc:AlternateContent>
  <xr:revisionPtr revIDLastSave="4" documentId="11_6E6B423C731C2C09FC4348C24427403452A3C413" xr6:coauthVersionLast="47" xr6:coauthVersionMax="47" xr10:uidLastSave="{F1583962-BC72-4C25-A705-A8CF40BA4CA5}"/>
  <bookViews>
    <workbookView xWindow="-120" yWindow="-120" windowWidth="38640" windowHeight="15720" xr2:uid="{00000000-000D-0000-FFFF-FFFF00000000}"/>
  </bookViews>
  <sheets>
    <sheet name="DADOS NATURAL" sheetId="1" r:id="rId1"/>
    <sheet name="RADIAÇÃO" sheetId="2" r:id="rId2"/>
    <sheet name="SATURAÇÃO" sheetId="3" r:id="rId3"/>
    <sheet name="ESTAÍSTICA" sheetId="5" r:id="rId4"/>
    <sheet name="TRAÇÃO_ESTAT" sheetId="7" state="hidden" r:id="rId5"/>
  </sheets>
  <externalReferences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D35" i="2"/>
  <c r="H3" i="2"/>
  <c r="H7" i="3"/>
  <c r="H6" i="3"/>
  <c r="H5" i="3"/>
  <c r="H3" i="3"/>
  <c r="D33" i="3" l="1"/>
  <c r="D34" i="3"/>
  <c r="D35" i="3"/>
  <c r="D36" i="3"/>
  <c r="D37" i="3"/>
  <c r="I33" i="3" s="1"/>
  <c r="D38" i="3"/>
  <c r="D39" i="3"/>
  <c r="D40" i="3"/>
  <c r="D41" i="3"/>
  <c r="D42" i="3"/>
  <c r="I34" i="3" s="1"/>
  <c r="D43" i="3"/>
  <c r="D44" i="3"/>
  <c r="D45" i="3"/>
  <c r="D46" i="3"/>
  <c r="D47" i="3"/>
  <c r="I35" i="3" s="1"/>
  <c r="D48" i="3"/>
  <c r="D49" i="3"/>
  <c r="D50" i="3"/>
  <c r="D51" i="3"/>
  <c r="D52" i="3"/>
  <c r="I36" i="3" s="1"/>
  <c r="D53" i="3"/>
  <c r="D54" i="3"/>
  <c r="D55" i="3"/>
  <c r="D56" i="3"/>
  <c r="D32" i="3"/>
  <c r="I32" i="3" s="1"/>
  <c r="H7" i="2"/>
  <c r="H6" i="2"/>
  <c r="H5" i="2"/>
  <c r="H4" i="2"/>
  <c r="D36" i="2"/>
  <c r="I35" i="2" s="1"/>
  <c r="D37" i="2"/>
  <c r="I37" i="2" s="1"/>
  <c r="D38" i="2"/>
  <c r="D39" i="2"/>
  <c r="D40" i="2"/>
  <c r="I36" i="2" s="1"/>
  <c r="D41" i="2"/>
  <c r="D42" i="2"/>
  <c r="D43" i="2"/>
  <c r="D44" i="2"/>
  <c r="D45" i="2"/>
  <c r="D46" i="2"/>
  <c r="D47" i="2"/>
  <c r="D48" i="2"/>
  <c r="D49" i="2"/>
  <c r="D50" i="2"/>
  <c r="I38" i="2" s="1"/>
  <c r="D51" i="2"/>
  <c r="D52" i="2"/>
  <c r="D53" i="2"/>
  <c r="D54" i="2"/>
  <c r="D55" i="2"/>
  <c r="I39" i="2" s="1"/>
  <c r="D56" i="2"/>
  <c r="D57" i="2"/>
  <c r="D58" i="2"/>
  <c r="D59" i="2"/>
  <c r="X5" i="1"/>
  <c r="X4" i="1"/>
  <c r="X3" i="1"/>
  <c r="P5" i="1"/>
  <c r="P4" i="1"/>
  <c r="P3" i="1"/>
  <c r="H7" i="1"/>
  <c r="H6" i="1"/>
  <c r="H5" i="1"/>
  <c r="H4" i="1"/>
  <c r="H3" i="1"/>
  <c r="M53" i="1"/>
  <c r="W51" i="1"/>
  <c r="X51" i="1"/>
  <c r="X41" i="1"/>
  <c r="X42" i="1"/>
  <c r="X43" i="1"/>
  <c r="X44" i="1"/>
  <c r="X45" i="1"/>
  <c r="AC41" i="1" s="1"/>
  <c r="X46" i="1"/>
  <c r="X47" i="1"/>
  <c r="X48" i="1"/>
  <c r="X49" i="1"/>
  <c r="X50" i="1"/>
  <c r="AC42" i="1" s="1"/>
  <c r="X52" i="1"/>
  <c r="X53" i="1"/>
  <c r="X54" i="1"/>
  <c r="X40" i="1"/>
  <c r="AC40" i="1" s="1"/>
  <c r="N41" i="1"/>
  <c r="N42" i="1"/>
  <c r="N43" i="1"/>
  <c r="N44" i="1"/>
  <c r="N45" i="1"/>
  <c r="S41" i="1" s="1"/>
  <c r="N46" i="1"/>
  <c r="N47" i="1"/>
  <c r="N48" i="1"/>
  <c r="N49" i="1"/>
  <c r="N50" i="1"/>
  <c r="S42" i="1" s="1"/>
  <c r="N51" i="1"/>
  <c r="N52" i="1"/>
  <c r="N53" i="1"/>
  <c r="N54" i="1"/>
  <c r="N40" i="1"/>
  <c r="S40" i="1" s="1"/>
  <c r="D41" i="1"/>
  <c r="D42" i="1"/>
  <c r="D43" i="1"/>
  <c r="D44" i="1"/>
  <c r="I40" i="1" s="1"/>
  <c r="D45" i="1"/>
  <c r="I41" i="1" s="1"/>
  <c r="D46" i="1"/>
  <c r="D47" i="1"/>
  <c r="D48" i="1"/>
  <c r="D49" i="1"/>
  <c r="D50" i="1"/>
  <c r="I42" i="1" s="1"/>
  <c r="D51" i="1"/>
  <c r="D52" i="1"/>
  <c r="D53" i="1"/>
  <c r="D54" i="1"/>
  <c r="D55" i="1"/>
  <c r="D56" i="1"/>
  <c r="I43" i="1" s="1"/>
  <c r="D57" i="1"/>
  <c r="D58" i="1"/>
  <c r="D59" i="1"/>
  <c r="D60" i="1"/>
  <c r="I44" i="1" s="1"/>
  <c r="D61" i="1"/>
  <c r="D62" i="1"/>
  <c r="D63" i="1"/>
  <c r="D64" i="1"/>
  <c r="D40" i="1"/>
  <c r="M54" i="3" l="1"/>
  <c r="M53" i="3"/>
  <c r="E52" i="3"/>
  <c r="M52" i="3"/>
  <c r="N52" i="3" s="1"/>
  <c r="R36" i="3" s="1"/>
  <c r="M51" i="3"/>
  <c r="M50" i="3"/>
  <c r="M49" i="3"/>
  <c r="M48" i="3"/>
  <c r="M47" i="3"/>
  <c r="F47" i="3"/>
  <c r="M46" i="3"/>
  <c r="M45" i="3"/>
  <c r="M44" i="3"/>
  <c r="M43" i="3"/>
  <c r="M42" i="3"/>
  <c r="M41" i="3"/>
  <c r="M40" i="3"/>
  <c r="M39" i="3"/>
  <c r="M38" i="3"/>
  <c r="M37" i="3"/>
  <c r="M36" i="3"/>
  <c r="F32" i="3"/>
  <c r="M35" i="3"/>
  <c r="M34" i="3"/>
  <c r="M33" i="3"/>
  <c r="M32" i="3"/>
  <c r="E32" i="3"/>
  <c r="M23" i="3"/>
  <c r="L23" i="3"/>
  <c r="P7" i="3" s="1"/>
  <c r="E23" i="3"/>
  <c r="D23" i="3"/>
  <c r="M18" i="3"/>
  <c r="N18" i="3" s="1"/>
  <c r="L18" i="3"/>
  <c r="E18" i="3"/>
  <c r="D18" i="3"/>
  <c r="M13" i="3"/>
  <c r="N13" i="3" s="1"/>
  <c r="L13" i="3"/>
  <c r="P5" i="3" s="1"/>
  <c r="E13" i="3"/>
  <c r="D13" i="3"/>
  <c r="M8" i="3"/>
  <c r="N8" i="3" s="1"/>
  <c r="L8" i="3"/>
  <c r="E8" i="3"/>
  <c r="D8" i="3"/>
  <c r="P6" i="3"/>
  <c r="P4" i="3"/>
  <c r="M3" i="3"/>
  <c r="L3" i="3"/>
  <c r="P3" i="3" s="1"/>
  <c r="E3" i="3"/>
  <c r="D3" i="3"/>
  <c r="M59" i="2"/>
  <c r="M58" i="2"/>
  <c r="M57" i="2"/>
  <c r="M56" i="2"/>
  <c r="M55" i="2"/>
  <c r="E55" i="2"/>
  <c r="M54" i="2"/>
  <c r="M53" i="2"/>
  <c r="M52" i="2"/>
  <c r="M51" i="2"/>
  <c r="M50" i="2"/>
  <c r="N50" i="2" s="1"/>
  <c r="R38" i="2" s="1"/>
  <c r="M49" i="2"/>
  <c r="M48" i="2"/>
  <c r="M47" i="2"/>
  <c r="M46" i="2"/>
  <c r="M45" i="2"/>
  <c r="E45" i="2"/>
  <c r="M44" i="2"/>
  <c r="M43" i="2"/>
  <c r="M42" i="2"/>
  <c r="M41" i="2"/>
  <c r="M40" i="2"/>
  <c r="M39" i="2"/>
  <c r="M38" i="2"/>
  <c r="M37" i="2"/>
  <c r="M36" i="2"/>
  <c r="M35" i="2"/>
  <c r="F35" i="2"/>
  <c r="M23" i="2"/>
  <c r="L23" i="2"/>
  <c r="E23" i="2"/>
  <c r="D23" i="2"/>
  <c r="M18" i="2"/>
  <c r="L18" i="2"/>
  <c r="P6" i="2" s="1"/>
  <c r="E18" i="2"/>
  <c r="F18" i="2" s="1"/>
  <c r="D18" i="2"/>
  <c r="M13" i="2"/>
  <c r="L13" i="2"/>
  <c r="P5" i="2" s="1"/>
  <c r="E13" i="2"/>
  <c r="D13" i="2"/>
  <c r="M8" i="2"/>
  <c r="L8" i="2"/>
  <c r="P4" i="2" s="1"/>
  <c r="E8" i="2"/>
  <c r="D8" i="2"/>
  <c r="P7" i="2"/>
  <c r="M3" i="2"/>
  <c r="N3" i="2" s="1"/>
  <c r="L3" i="2"/>
  <c r="P3" i="2" s="1"/>
  <c r="E3" i="2"/>
  <c r="D3" i="2"/>
  <c r="F50" i="1"/>
  <c r="Z50" i="1"/>
  <c r="Z45" i="1"/>
  <c r="Z40" i="1"/>
  <c r="F40" i="1"/>
  <c r="E23" i="1"/>
  <c r="D23" i="1"/>
  <c r="E18" i="1"/>
  <c r="D18" i="1"/>
  <c r="U13" i="1"/>
  <c r="V13" i="1" s="1"/>
  <c r="T13" i="1"/>
  <c r="M13" i="1"/>
  <c r="L13" i="1"/>
  <c r="E13" i="1"/>
  <c r="F13" i="1" s="1"/>
  <c r="D13" i="1"/>
  <c r="U8" i="1"/>
  <c r="T8" i="1"/>
  <c r="V8" i="1" s="1"/>
  <c r="M8" i="1"/>
  <c r="L8" i="1"/>
  <c r="E8" i="1"/>
  <c r="D8" i="1"/>
  <c r="U3" i="1"/>
  <c r="V3" i="1" s="1"/>
  <c r="T3" i="1"/>
  <c r="M3" i="1"/>
  <c r="L3" i="1"/>
  <c r="E3" i="1"/>
  <c r="F3" i="1" s="1"/>
  <c r="D3" i="1"/>
  <c r="N13" i="1" l="1"/>
  <c r="N35" i="2"/>
  <c r="R35" i="2" s="1"/>
  <c r="N40" i="2"/>
  <c r="R36" i="2" s="1"/>
  <c r="N42" i="3"/>
  <c r="R34" i="3" s="1"/>
  <c r="F8" i="1"/>
  <c r="N18" i="2"/>
  <c r="O32" i="3"/>
  <c r="F23" i="1"/>
  <c r="N47" i="3"/>
  <c r="R35" i="3" s="1"/>
  <c r="F3" i="3"/>
  <c r="F8" i="3"/>
  <c r="F13" i="3"/>
  <c r="F23" i="2"/>
  <c r="F13" i="2"/>
  <c r="G32" i="3"/>
  <c r="F18" i="1"/>
  <c r="P45" i="1"/>
  <c r="Q45" i="1" s="1"/>
  <c r="F3" i="2"/>
  <c r="N8" i="2"/>
  <c r="N13" i="2"/>
  <c r="F40" i="2"/>
  <c r="F50" i="2"/>
  <c r="N23" i="3"/>
  <c r="F45" i="1"/>
  <c r="G40" i="1"/>
  <c r="AA50" i="1"/>
  <c r="F55" i="1"/>
  <c r="O35" i="2"/>
  <c r="P35" i="2" s="1"/>
  <c r="N45" i="2"/>
  <c r="R37" i="2" s="1"/>
  <c r="N55" i="2"/>
  <c r="R39" i="2" s="1"/>
  <c r="F18" i="3"/>
  <c r="O37" i="3"/>
  <c r="G50" i="1"/>
  <c r="N3" i="1"/>
  <c r="N8" i="1"/>
  <c r="P40" i="1"/>
  <c r="P50" i="1"/>
  <c r="F60" i="1"/>
  <c r="F8" i="2"/>
  <c r="N23" i="2"/>
  <c r="E40" i="2"/>
  <c r="F45" i="2"/>
  <c r="G45" i="2" s="1"/>
  <c r="E50" i="2"/>
  <c r="F55" i="2"/>
  <c r="G55" i="2" s="1"/>
  <c r="N3" i="3"/>
  <c r="F37" i="3"/>
  <c r="F42" i="3"/>
  <c r="F52" i="3"/>
  <c r="G52" i="3" s="1"/>
  <c r="E42" i="3"/>
  <c r="F23" i="3"/>
  <c r="N32" i="3"/>
  <c r="R32" i="3" s="1"/>
  <c r="N37" i="3"/>
  <c r="R33" i="3" s="1"/>
  <c r="O52" i="3"/>
  <c r="P52" i="3" s="1"/>
  <c r="O42" i="3"/>
  <c r="P42" i="3" s="1"/>
  <c r="O47" i="3"/>
  <c r="P47" i="3" s="1"/>
  <c r="E47" i="3"/>
  <c r="E37" i="3"/>
  <c r="O45" i="2"/>
  <c r="O50" i="2"/>
  <c r="P50" i="2" s="1"/>
  <c r="O55" i="2"/>
  <c r="E35" i="2"/>
  <c r="O40" i="2"/>
  <c r="P40" i="2" s="1"/>
  <c r="AA40" i="1"/>
  <c r="AA45" i="1"/>
  <c r="G40" i="2" l="1"/>
  <c r="G35" i="2"/>
  <c r="P32" i="3"/>
  <c r="Q40" i="1"/>
  <c r="G55" i="1"/>
  <c r="P55" i="2"/>
  <c r="Q50" i="1"/>
  <c r="P45" i="2"/>
  <c r="P37" i="3"/>
  <c r="G50" i="2"/>
  <c r="G47" i="3"/>
  <c r="G37" i="3"/>
  <c r="G42" i="3"/>
  <c r="G60" i="1"/>
  <c r="G45" i="1"/>
</calcChain>
</file>

<file path=xl/sharedStrings.xml><?xml version="1.0" encoding="utf-8"?>
<sst xmlns="http://schemas.openxmlformats.org/spreadsheetml/2006/main" count="755" uniqueCount="184">
  <si>
    <t>A1</t>
  </si>
  <si>
    <t>A2</t>
  </si>
  <si>
    <t>A3</t>
  </si>
  <si>
    <t>A4</t>
  </si>
  <si>
    <t>A5</t>
  </si>
  <si>
    <t>Tabôa</t>
  </si>
  <si>
    <t>Trat. (dias)</t>
  </si>
  <si>
    <t>Tração (N)</t>
  </si>
  <si>
    <t>média</t>
  </si>
  <si>
    <t>Desv. Pad.</t>
  </si>
  <si>
    <t>CV (%)</t>
  </si>
  <si>
    <t>Amostr.</t>
  </si>
  <si>
    <t>Junco</t>
  </si>
  <si>
    <t>Euricuri</t>
  </si>
  <si>
    <t>Resumo</t>
  </si>
  <si>
    <t>Trat.</t>
  </si>
  <si>
    <t>Média</t>
  </si>
  <si>
    <t>Trat. (horas)</t>
  </si>
  <si>
    <t>**</t>
  </si>
  <si>
    <t>T0=</t>
  </si>
  <si>
    <t>T1=</t>
  </si>
  <si>
    <t>T2=</t>
  </si>
  <si>
    <t>T3=</t>
  </si>
  <si>
    <t>T4=</t>
  </si>
  <si>
    <r>
      <t>Δ</t>
    </r>
    <r>
      <rPr>
        <sz val="9.35"/>
        <color theme="1"/>
        <rFont val="Calibri"/>
        <family val="2"/>
      </rPr>
      <t>L (mm)</t>
    </r>
  </si>
  <si>
    <t>Deformação (%)</t>
  </si>
  <si>
    <t>média(%)</t>
  </si>
  <si>
    <t>ΔL (mm)</t>
  </si>
  <si>
    <t>TRAÇÃO</t>
  </si>
  <si>
    <t>Kruskal-Wallis rank sum test</t>
  </si>
  <si>
    <t>Kruskal-Wallis chi-squared = 46.2, df = 14, p-value = 2.6e-05</t>
  </si>
  <si>
    <t>W = 0.96669, p-value = 0.04548</t>
  </si>
  <si>
    <t xml:space="preserve">                   with Tukey-Dist approximation for independent samples </t>
  </si>
  <si>
    <t>TRATAMENTO</t>
  </si>
  <si>
    <t>CONT 0</t>
  </si>
  <si>
    <t>CONT 60</t>
  </si>
  <si>
    <t>CONT 90</t>
  </si>
  <si>
    <t>CONT 120</t>
  </si>
  <si>
    <t>CONT 180</t>
  </si>
  <si>
    <t>RAD 0</t>
  </si>
  <si>
    <t>RAD 60</t>
  </si>
  <si>
    <t>RAD 90</t>
  </si>
  <si>
    <t>RAD 120</t>
  </si>
  <si>
    <t>RAD 180</t>
  </si>
  <si>
    <t>SAT 0</t>
  </si>
  <si>
    <t>SAT 60</t>
  </si>
  <si>
    <t>SAT 90</t>
  </si>
  <si>
    <t>SAT 120</t>
  </si>
  <si>
    <t>SAT 180</t>
  </si>
  <si>
    <t>Shapiro-Wilk normality test</t>
  </si>
  <si>
    <t>data:  dados$TRAÇÃO</t>
  </si>
  <si>
    <t>data:  dados$TRAÇÃO by factor(dados$TRATAMENTO)</t>
  </si>
  <si>
    <t xml:space="preserve">Pairwise comparisons using Tukey and Kramer (Nemenyi) test      </t>
  </si>
  <si>
    <t>CON 0</t>
  </si>
  <si>
    <t>CON 120</t>
  </si>
  <si>
    <t>CON 180</t>
  </si>
  <si>
    <t>CON 60</t>
  </si>
  <si>
    <t>CON 90</t>
  </si>
  <si>
    <t xml:space="preserve">0.016*  </t>
  </si>
  <si>
    <t>0.004*</t>
  </si>
  <si>
    <t>0.016*</t>
  </si>
  <si>
    <r>
      <t>1.0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</si>
  <si>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0.209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</si>
  <si>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0.999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</si>
  <si>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0.997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</si>
  <si>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0.182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</si>
  <si>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0.998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</si>
  <si>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0.732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</si>
  <si>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0.953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</si>
  <si>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0.822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</si>
  <si>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0.7327</t>
    </r>
    <r>
      <rPr>
        <vertAlign val="superscript"/>
        <sz val="11"/>
        <color rgb="FF000000"/>
        <rFont val="Calibri"/>
        <family val="2"/>
        <scheme val="minor"/>
      </rPr>
      <t xml:space="preserve"> ns</t>
    </r>
  </si>
  <si>
    <r>
      <t>0.996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</si>
  <si>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0.443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</si>
  <si>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0.231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</si>
  <si>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0.950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</si>
  <si>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0.934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</si>
  <si>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0.9964</t>
    </r>
    <r>
      <rPr>
        <vertAlign val="superscript"/>
        <sz val="11"/>
        <color rgb="FF000000"/>
        <rFont val="Calibri"/>
        <family val="2"/>
        <scheme val="minor"/>
      </rPr>
      <t xml:space="preserve"> ns</t>
    </r>
  </si>
  <si>
    <r>
      <t>0.157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</si>
  <si>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0.062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</si>
  <si>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0.713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</si>
  <si>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0.671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</si>
  <si>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1.0000</t>
    </r>
    <r>
      <rPr>
        <vertAlign val="superscript"/>
        <sz val="11"/>
        <color rgb="FF000000"/>
        <rFont val="Calibri"/>
        <family val="2"/>
        <scheme val="minor"/>
      </rPr>
      <t xml:space="preserve"> ns</t>
    </r>
  </si>
  <si>
    <r>
      <t>0.990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</si>
  <si>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0.957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</si>
  <si>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0.723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</si>
  <si>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0.475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</si>
  <si>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0.995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</si>
  <si>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0.993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</si>
  <si>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0.9568</t>
    </r>
    <r>
      <rPr>
        <vertAlign val="superscript"/>
        <sz val="11"/>
        <color rgb="FF000000"/>
        <rFont val="Calibri"/>
        <family val="2"/>
        <scheme val="minor"/>
      </rPr>
      <t xml:space="preserve"> ns</t>
    </r>
  </si>
  <si>
    <r>
      <t>1.0</t>
    </r>
    <r>
      <rPr>
        <vertAlign val="superscript"/>
        <sz val="11"/>
        <color rgb="FF000000"/>
        <rFont val="Calibri"/>
        <family val="2"/>
        <scheme val="minor"/>
      </rPr>
      <t xml:space="preserve"> ns</t>
    </r>
  </si>
  <si>
    <r>
      <t>0.254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</si>
  <si>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0.960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</si>
  <si>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0.946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</si>
  <si>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0.9949</t>
    </r>
    <r>
      <rPr>
        <vertAlign val="superscript"/>
        <sz val="11"/>
        <color rgb="FF000000"/>
        <rFont val="Calibri"/>
        <family val="2"/>
        <scheme val="minor"/>
      </rPr>
      <t xml:space="preserve"> ns</t>
    </r>
  </si>
  <si>
    <r>
      <t>0.508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</si>
  <si>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0.279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</si>
  <si>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0.968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</si>
  <si>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0.9929</t>
    </r>
    <r>
      <rPr>
        <vertAlign val="superscript"/>
        <sz val="11"/>
        <color rgb="FF000000"/>
        <rFont val="Calibri"/>
        <family val="2"/>
        <scheme val="minor"/>
      </rPr>
      <t xml:space="preserve"> ns</t>
    </r>
  </si>
  <si>
    <r>
      <t>0.929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</si>
  <si>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0.788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</si>
  <si>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0.552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</si>
  <si>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0.9299</t>
    </r>
    <r>
      <rPr>
        <vertAlign val="superscript"/>
        <sz val="11"/>
        <color rgb="FF000000"/>
        <rFont val="Calibri"/>
        <family val="2"/>
        <scheme val="minor"/>
      </rPr>
      <t xml:space="preserve"> ns</t>
    </r>
  </si>
  <si>
    <r>
      <t>0.433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</si>
  <si>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0.223</t>
    </r>
    <r>
      <rPr>
        <vertAlign val="superscript"/>
        <sz val="11"/>
        <color rgb="FF000000"/>
        <rFont val="Calibri"/>
        <family val="2"/>
        <scheme val="minor"/>
      </rPr>
      <t>ns</t>
    </r>
  </si>
  <si>
    <r>
      <t>0.9969</t>
    </r>
    <r>
      <rPr>
        <vertAlign val="superscript"/>
        <sz val="11"/>
        <color rgb="FF000000"/>
        <rFont val="Calibri"/>
        <family val="2"/>
        <scheme val="minor"/>
      </rPr>
      <t xml:space="preserve"> ns</t>
    </r>
  </si>
  <si>
    <t>TRAÇÃO TESTE GERAL</t>
  </si>
  <si>
    <t>a</t>
  </si>
  <si>
    <t>groups</t>
  </si>
  <si>
    <t>ab</t>
  </si>
  <si>
    <t>cd</t>
  </si>
  <si>
    <t>abc</t>
  </si>
  <si>
    <t>bcd</t>
  </si>
  <si>
    <t>de</t>
  </si>
  <si>
    <t>4.8</t>
  </si>
  <si>
    <t>Min</t>
  </si>
  <si>
    <t>Max</t>
  </si>
  <si>
    <t>Q25</t>
  </si>
  <si>
    <t>Q50</t>
  </si>
  <si>
    <t>Q75</t>
  </si>
  <si>
    <t>dados.TRAÇÃO</t>
  </si>
  <si>
    <t>rank</t>
  </si>
  <si>
    <t>std</t>
  </si>
  <si>
    <t>r</t>
  </si>
  <si>
    <t>60.8</t>
  </si>
  <si>
    <t>9.4</t>
  </si>
  <si>
    <t>21.2</t>
  </si>
  <si>
    <t>20.4</t>
  </si>
  <si>
    <t>31.8</t>
  </si>
  <si>
    <t>43.8</t>
  </si>
  <si>
    <t>50.6</t>
  </si>
  <si>
    <t>38.6</t>
  </si>
  <si>
    <t>43.2</t>
  </si>
  <si>
    <t>42.6</t>
  </si>
  <si>
    <t>37.2</t>
  </si>
  <si>
    <t>44.0</t>
  </si>
  <si>
    <t>e</t>
  </si>
  <si>
    <t>TENSÃO RADIAÇÃO TABOA</t>
  </si>
  <si>
    <t>TENSÃO RADIAÇÃO JUNCO</t>
  </si>
  <si>
    <t>DEFORMAÇÃO RADIAÇÃO TABOA</t>
  </si>
  <si>
    <t>DEFORMAÇÃO RADIAÇÃO JUNCO</t>
  </si>
  <si>
    <t>TENSÃO NATURAL TABOA</t>
  </si>
  <si>
    <t>DEFORMAÇÃO NATURAL  TABOA</t>
  </si>
  <si>
    <t>TENSÃO SATURAÇÃO TABOA</t>
  </si>
  <si>
    <t>TENSÃO SATURAÇÃO JUNCO</t>
  </si>
  <si>
    <t>DEFORMAÇÃO SATURAÇÃO TABOA</t>
  </si>
  <si>
    <t>DEFORMAÇÃO SATURAÇÃO JUNCO</t>
  </si>
  <si>
    <t>0 DIAS</t>
  </si>
  <si>
    <t>60 DIAS</t>
  </si>
  <si>
    <t>90 DIAS</t>
  </si>
  <si>
    <t>120 DIAS</t>
  </si>
  <si>
    <t>180 DIAS</t>
  </si>
  <si>
    <t>TENSÃO NATURAL OURICURI</t>
  </si>
  <si>
    <t>DEFORMAÇÃO NATURAL OURICURI</t>
  </si>
  <si>
    <t>Limite Inferior</t>
  </si>
  <si>
    <t>Limite Superior</t>
  </si>
  <si>
    <t>P-valor</t>
  </si>
  <si>
    <t>Grupos</t>
  </si>
  <si>
    <t>DEFORMAÇÃO NATURAL JUNCO</t>
  </si>
  <si>
    <t>TENSÃO NATURAL JUNCO</t>
  </si>
  <si>
    <t>TESTE DE KRUSKAL-WALLIS</t>
  </si>
  <si>
    <t>Método: Kruskal-Wallis rank sum test</t>
  </si>
  <si>
    <t>Teste de Kruskal-Wallis</t>
  </si>
  <si>
    <t>Kruskal-Wallis qui-quadrado</t>
  </si>
  <si>
    <t>Graus de Liberdade</t>
  </si>
  <si>
    <t>Valor</t>
  </si>
  <si>
    <t>Informação</t>
  </si>
  <si>
    <t>Tabela de Comparações Múltiplas - FWER (Comparação Múltipla)</t>
  </si>
  <si>
    <t xml:space="preserve"> 0 DIAS - 120 DIAS</t>
  </si>
  <si>
    <t xml:space="preserve"> 0 DIAS - 180 DIAS</t>
  </si>
  <si>
    <t xml:space="preserve"> 0 DIAS - 60 DIAS</t>
  </si>
  <si>
    <t xml:space="preserve"> 0 DIAS - 90 DIAS</t>
  </si>
  <si>
    <t xml:space="preserve"> 120 DIAS - 180 DIAS</t>
  </si>
  <si>
    <t xml:space="preserve"> 120 DIAS - 60 DIAS</t>
  </si>
  <si>
    <t xml:space="preserve"> 120 DIAS - 90 DIAS</t>
  </si>
  <si>
    <t xml:space="preserve"> 180 DIAS - 60 DIAS</t>
  </si>
  <si>
    <t xml:space="preserve"> 180 DIAS - 90 DIAS</t>
  </si>
  <si>
    <t xml:space="preserve"> 60 DIAS - 90 DIAS</t>
  </si>
  <si>
    <t>Diferença Observada</t>
  </si>
  <si>
    <t>Estatística</t>
  </si>
  <si>
    <t>P-valor ajustado</t>
  </si>
  <si>
    <t>Tabela dos Agrupamentos</t>
  </si>
  <si>
    <t>Médias (Rank)</t>
  </si>
  <si>
    <t>Fatores</t>
  </si>
  <si>
    <t>Médiana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</si>
</sst>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sz val="10"/>
      <color rgb="FF000000"/>
      <name val="Lucida Console"/>
      <family val="3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Lucida Console"/>
      <family val="3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18"/>
      <name val="Calibri"/>
      <family val="2"/>
      <scheme val="minor"/>
    </font>
    <font>
      <b/>
      <i/>
      <sz val="10"/>
      <color indexed="9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theme="8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18"/>
        <bgColor indexed="2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0" fillId="34" borderId="0" xfId="0" applyFill="1" applyAlignment="1">
      <alignment horizontal="center" vertical="center"/>
    </xf>
    <xf numFmtId="0" fontId="0" fillId="33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0" fillId="38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vertical="center"/>
    </xf>
    <xf numFmtId="4" fontId="0" fillId="33" borderId="0" xfId="0" applyNumberFormat="1" applyFill="1" applyAlignment="1">
      <alignment vertical="center"/>
    </xf>
    <xf numFmtId="2" fontId="0" fillId="37" borderId="0" xfId="0" applyNumberFormat="1" applyFill="1" applyAlignment="1">
      <alignment vertical="center"/>
    </xf>
    <xf numFmtId="2" fontId="0" fillId="38" borderId="0" xfId="0" applyNumberFormat="1" applyFill="1" applyAlignment="1">
      <alignment vertical="center"/>
    </xf>
    <xf numFmtId="0" fontId="0" fillId="39" borderId="0" xfId="0" applyFill="1"/>
    <xf numFmtId="0" fontId="0" fillId="36" borderId="0" xfId="0" applyFill="1"/>
    <xf numFmtId="0" fontId="0" fillId="33" borderId="0" xfId="0" applyFill="1"/>
    <xf numFmtId="0" fontId="19" fillId="34" borderId="0" xfId="0" applyFont="1" applyFill="1" applyAlignment="1">
      <alignment horizontal="center" vertical="center"/>
    </xf>
    <xf numFmtId="2" fontId="0" fillId="33" borderId="0" xfId="0" applyNumberFormat="1" applyFill="1" applyAlignment="1">
      <alignment vertical="center"/>
    </xf>
    <xf numFmtId="4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4" fontId="0" fillId="35" borderId="0" xfId="0" applyNumberForma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8" fillId="38" borderId="0" xfId="0" applyFont="1" applyFill="1" applyAlignment="1">
      <alignment horizontal="center" vertical="center"/>
    </xf>
    <xf numFmtId="4" fontId="0" fillId="37" borderId="0" xfId="0" applyNumberForma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4" fontId="0" fillId="38" borderId="0" xfId="0" applyNumberFormat="1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1" fillId="4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16" fillId="0" borderId="11" xfId="0" applyFont="1" applyBorder="1"/>
    <xf numFmtId="0" fontId="25" fillId="0" borderId="0" xfId="0" applyFont="1" applyAlignment="1">
      <alignment vertical="center"/>
    </xf>
    <xf numFmtId="0" fontId="25" fillId="40" borderId="0" xfId="0" applyFont="1" applyFill="1" applyAlignment="1">
      <alignment vertical="center"/>
    </xf>
    <xf numFmtId="3" fontId="0" fillId="0" borderId="0" xfId="0" applyNumberFormat="1"/>
    <xf numFmtId="4" fontId="0" fillId="33" borderId="0" xfId="0" applyNumberFormat="1" applyFill="1" applyAlignment="1">
      <alignment horizontal="center" vertical="center"/>
    </xf>
    <xf numFmtId="4" fontId="0" fillId="35" borderId="0" xfId="0" applyNumberFormat="1" applyFill="1" applyAlignment="1">
      <alignment horizontal="center" vertical="center"/>
    </xf>
    <xf numFmtId="4" fontId="0" fillId="37" borderId="0" xfId="0" applyNumberFormat="1" applyFill="1" applyAlignment="1">
      <alignment horizontal="center" vertical="center"/>
    </xf>
    <xf numFmtId="4" fontId="0" fillId="37" borderId="0" xfId="0" applyNumberFormat="1" applyFill="1" applyAlignment="1">
      <alignment horizontal="center" vertical="center"/>
    </xf>
    <xf numFmtId="4" fontId="0" fillId="38" borderId="0" xfId="0" applyNumberFormat="1" applyFill="1" applyAlignment="1">
      <alignment horizontal="center" vertical="center"/>
    </xf>
    <xf numFmtId="2" fontId="0" fillId="37" borderId="10" xfId="0" applyNumberFormat="1" applyFont="1" applyFill="1" applyBorder="1"/>
    <xf numFmtId="2" fontId="0" fillId="41" borderId="10" xfId="0" applyNumberFormat="1" applyFont="1" applyFill="1" applyBorder="1"/>
    <xf numFmtId="4" fontId="0" fillId="42" borderId="0" xfId="0" applyNumberFormat="1" applyFill="1" applyAlignment="1">
      <alignment horizontal="center" vertical="center"/>
    </xf>
    <xf numFmtId="4" fontId="0" fillId="33" borderId="0" xfId="0" applyNumberFormat="1" applyFill="1" applyAlignment="1">
      <alignment horizontal="center" vertical="center"/>
    </xf>
    <xf numFmtId="4" fontId="0" fillId="37" borderId="0" xfId="0" applyNumberFormat="1" applyFill="1" applyAlignment="1">
      <alignment horizontal="center" vertical="center"/>
    </xf>
    <xf numFmtId="0" fontId="16" fillId="0" borderId="0" xfId="0" applyFont="1"/>
    <xf numFmtId="0" fontId="26" fillId="0" borderId="0" xfId="0" applyFont="1"/>
    <xf numFmtId="0" fontId="27" fillId="0" borderId="0" xfId="0" applyFont="1"/>
    <xf numFmtId="0" fontId="29" fillId="44" borderId="21" xfId="0" applyFont="1" applyFill="1" applyBorder="1" applyAlignment="1">
      <alignment horizontal="center"/>
    </xf>
    <xf numFmtId="0" fontId="29" fillId="44" borderId="12" xfId="0" applyFont="1" applyFill="1" applyBorder="1" applyAlignment="1">
      <alignment horizontal="center"/>
    </xf>
    <xf numFmtId="0" fontId="29" fillId="44" borderId="22" xfId="0" applyFont="1" applyFill="1" applyBorder="1" applyAlignment="1">
      <alignment horizontal="center"/>
    </xf>
    <xf numFmtId="0" fontId="28" fillId="43" borderId="16" xfId="0" applyFont="1" applyFill="1" applyBorder="1" applyAlignment="1">
      <alignment horizontal="center"/>
    </xf>
    <xf numFmtId="0" fontId="28" fillId="43" borderId="0" xfId="0" applyFont="1" applyFill="1" applyBorder="1" applyAlignment="1">
      <alignment horizontal="center"/>
    </xf>
    <xf numFmtId="0" fontId="28" fillId="43" borderId="17" xfId="0" applyFont="1" applyFill="1" applyBorder="1" applyAlignment="1">
      <alignment horizontal="center"/>
    </xf>
    <xf numFmtId="0" fontId="28" fillId="43" borderId="18" xfId="0" applyFont="1" applyFill="1" applyBorder="1" applyAlignment="1">
      <alignment horizontal="center"/>
    </xf>
    <xf numFmtId="0" fontId="28" fillId="43" borderId="19" xfId="0" applyFont="1" applyFill="1" applyBorder="1" applyAlignment="1">
      <alignment horizontal="center"/>
    </xf>
    <xf numFmtId="0" fontId="28" fillId="43" borderId="20" xfId="0" applyFont="1" applyFill="1" applyBorder="1" applyAlignment="1">
      <alignment horizontal="center"/>
    </xf>
    <xf numFmtId="0" fontId="28" fillId="43" borderId="16" xfId="0" quotePrefix="1" applyFont="1" applyFill="1" applyBorder="1" applyAlignment="1">
      <alignment horizontal="center"/>
    </xf>
    <xf numFmtId="0" fontId="28" fillId="43" borderId="18" xfId="0" quotePrefix="1" applyFont="1" applyFill="1" applyBorder="1" applyAlignment="1">
      <alignment horizontal="center"/>
    </xf>
    <xf numFmtId="4" fontId="28" fillId="43" borderId="0" xfId="0" applyNumberFormat="1" applyFont="1" applyFill="1" applyBorder="1" applyAlignment="1">
      <alignment horizontal="center"/>
    </xf>
    <xf numFmtId="4" fontId="0" fillId="37" borderId="0" xfId="0" applyNumberFormat="1" applyFill="1" applyAlignment="1">
      <alignment vertical="center"/>
    </xf>
    <xf numFmtId="0" fontId="0" fillId="38" borderId="0" xfId="0" applyFill="1" applyAlignment="1">
      <alignment horizontal="center"/>
    </xf>
    <xf numFmtId="0" fontId="0" fillId="34" borderId="0" xfId="0" applyFill="1" applyAlignment="1">
      <alignment horizontal="center"/>
    </xf>
    <xf numFmtId="4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4" fontId="0" fillId="35" borderId="0" xfId="0" applyNumberForma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8" fillId="38" borderId="0" xfId="0" applyFont="1" applyFill="1" applyAlignment="1">
      <alignment horizontal="center" vertical="center"/>
    </xf>
    <xf numFmtId="4" fontId="0" fillId="37" borderId="0" xfId="0" applyNumberForma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4" fontId="0" fillId="38" borderId="0" xfId="0" applyNumberFormat="1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29" fillId="44" borderId="13" xfId="0" applyFont="1" applyFill="1" applyBorder="1" applyAlignment="1">
      <alignment horizontal="center"/>
    </xf>
    <xf numFmtId="0" fontId="29" fillId="44" borderId="14" xfId="0" applyFont="1" applyFill="1" applyBorder="1" applyAlignment="1">
      <alignment horizontal="center"/>
    </xf>
    <xf numFmtId="0" fontId="29" fillId="44" borderId="1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Ênfase1" xfId="18" builtinId="30" customBuiltin="1"/>
    <cellStyle name="20% - Ênfase2" xfId="22" builtinId="34" customBuiltin="1"/>
    <cellStyle name="20% - Ênfase3" xfId="26" builtinId="38" customBuiltin="1"/>
    <cellStyle name="20% - Ênfase4" xfId="30" builtinId="42" customBuiltin="1"/>
    <cellStyle name="20% - Ênfase5" xfId="34" builtinId="46" customBuiltin="1"/>
    <cellStyle name="20% - Ênfase6" xfId="38" builtinId="50" customBuiltin="1"/>
    <cellStyle name="40% - Ênfase1" xfId="19" builtinId="31" customBuiltin="1"/>
    <cellStyle name="40% - Ênfase2" xfId="23" builtinId="35" customBuiltin="1"/>
    <cellStyle name="40% - Ênfase3" xfId="27" builtinId="39" customBuiltin="1"/>
    <cellStyle name="40% - Ênfase4" xfId="31" builtinId="43" customBuiltin="1"/>
    <cellStyle name="40% - Ênfase5" xfId="35" builtinId="47" customBuiltin="1"/>
    <cellStyle name="40% - Ênfase6" xfId="39" builtinId="51" customBuiltin="1"/>
    <cellStyle name="60% - Ênfase1" xfId="20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5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8" builtinId="20" customBuiltin="1"/>
    <cellStyle name="Neutro" xfId="7" builtinId="28" customBuiltin="1"/>
    <cellStyle name="Normal" xfId="0" builtinId="0"/>
    <cellStyle name="Nota" xfId="14" builtinId="10" customBuiltin="1"/>
    <cellStyle name="Ruim" xfId="6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41" xr:uid="{00000000-0005-0000-0000-000028000000}"/>
    <cellStyle name="Total" xfId="16" builtinId="25" customBuiltin="1"/>
  </cellStyles>
  <dxfs count="2">
    <dxf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4" formatCode="#,##0.00"/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pt-BR" sz="1600" b="1" i="0" baseline="0">
                <a:effectLst/>
              </a:rPr>
              <a:t>Variação da tensão de ruptura de acordo com o tempo de exposição</a:t>
            </a:r>
            <a:endParaRPr lang="pt-BR" sz="1600">
              <a:effectLst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'DADOS NATURAL'!$A$1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'DADOS NATURAL'!$G$3:$G$7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180</c:v>
                </c:pt>
              </c:numCache>
            </c:numRef>
          </c:xVal>
          <c:yVal>
            <c:numRef>
              <c:f>'DADOS NATURAL'!$H$3:$H$7</c:f>
              <c:numCache>
                <c:formatCode>#,##0.00</c:formatCode>
                <c:ptCount val="5"/>
                <c:pt idx="0">
                  <c:v>95.029380000000003</c:v>
                </c:pt>
                <c:pt idx="1">
                  <c:v>55.90502</c:v>
                </c:pt>
                <c:pt idx="2">
                  <c:v>52.221609999999998</c:v>
                </c:pt>
                <c:pt idx="3">
                  <c:v>38.933639999999997</c:v>
                </c:pt>
                <c:pt idx="4">
                  <c:v>33.972560000000001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4-4978-B69B-3B4756E611C6}"/>
            </c:ext>
          </c:extLst>
        </c:ser>
        <c:ser>
          <c:idx val="1"/>
          <c:order val="1"/>
          <c:tx>
            <c:strRef>
              <c:f>'DADOS NATURAL'!$I$1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'DADOS NATURAL'!$O$3:$O$5</c:f>
              <c:numCache>
                <c:formatCode>General</c:formatCode>
                <c:ptCount val="3"/>
                <c:pt idx="0">
                  <c:v>0</c:v>
                </c:pt>
                <c:pt idx="1">
                  <c:v>60</c:v>
                </c:pt>
                <c:pt idx="2">
                  <c:v>90</c:v>
                </c:pt>
              </c:numCache>
            </c:numRef>
          </c:xVal>
          <c:yVal>
            <c:numRef>
              <c:f>'DADOS NATURAL'!$P$3:$P$5</c:f>
              <c:numCache>
                <c:formatCode>#,##0.00</c:formatCode>
                <c:ptCount val="3"/>
                <c:pt idx="0">
                  <c:v>80.496539999999996</c:v>
                </c:pt>
                <c:pt idx="1">
                  <c:v>2.4965899999999999</c:v>
                </c:pt>
                <c:pt idx="2">
                  <c:v>2.4755500000000001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4-4978-B69B-3B4756E611C6}"/>
            </c:ext>
          </c:extLst>
        </c:ser>
        <c:ser>
          <c:idx val="2"/>
          <c:order val="2"/>
          <c:tx>
            <c:strRef>
              <c:f>'DADOS NATURAL'!$Q$1</c:f>
              <c:strCache>
                <c:ptCount val="1"/>
                <c:pt idx="0">
                  <c:v>Euricuri</c:v>
                </c:pt>
              </c:strCache>
            </c:strRef>
          </c:tx>
          <c:spPr>
            <a:ln w="28575" cmpd="sng">
              <a:solidFill>
                <a:schemeClr val="accent3">
                  <a:lumMod val="60000"/>
                  <a:lumOff val="40000"/>
                </a:schemeClr>
              </a:solidFill>
              <a:headEnd w="sm" len="sm"/>
              <a:tailEnd w="sm" len="sm"/>
            </a:ln>
          </c:spPr>
          <c:marker>
            <c:symbol val="triangle"/>
            <c:size val="7"/>
            <c:spPr>
              <a:ln w="15875"/>
            </c:spPr>
          </c:marker>
          <c:xVal>
            <c:numRef>
              <c:f>'DADOS NATURAL'!$W$3:$W$5</c:f>
              <c:numCache>
                <c:formatCode>General</c:formatCode>
                <c:ptCount val="3"/>
                <c:pt idx="0">
                  <c:v>0</c:v>
                </c:pt>
                <c:pt idx="1">
                  <c:v>60</c:v>
                </c:pt>
                <c:pt idx="2">
                  <c:v>90</c:v>
                </c:pt>
              </c:numCache>
            </c:numRef>
          </c:xVal>
          <c:yVal>
            <c:numRef>
              <c:f>'DADOS NATURAL'!$X$3:$X$5</c:f>
              <c:numCache>
                <c:formatCode>#,##0.00</c:formatCode>
                <c:ptCount val="3"/>
                <c:pt idx="0">
                  <c:v>152.32115999999999</c:v>
                </c:pt>
                <c:pt idx="1">
                  <c:v>8.4408899999999996</c:v>
                </c:pt>
                <c:pt idx="2">
                  <c:v>6.044575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34-4978-B69B-3B4756E61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4176"/>
        <c:axId val="53691904"/>
      </c:scatterChart>
      <c:valAx>
        <c:axId val="53074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Tempo de exposição (dias)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691904"/>
        <c:crosses val="autoZero"/>
        <c:crossBetween val="midCat"/>
        <c:majorUnit val="30"/>
      </c:valAx>
      <c:valAx>
        <c:axId val="53691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Tensão de ruptura (N)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5307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'DADOS NATURAL'!$A$38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'DADOS NATURAL'!$H$40:$H$44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180</c:v>
                </c:pt>
              </c:numCache>
            </c:numRef>
          </c:xVal>
          <c:yVal>
            <c:numRef>
              <c:f>'DADOS NATURAL'!$I$40:$I$44</c:f>
              <c:numCache>
                <c:formatCode>#,##0.00</c:formatCode>
                <c:ptCount val="5"/>
                <c:pt idx="0">
                  <c:v>4.5749733333333324</c:v>
                </c:pt>
                <c:pt idx="1">
                  <c:v>4.2759399999999994</c:v>
                </c:pt>
                <c:pt idx="2">
                  <c:v>3.2222200000000001</c:v>
                </c:pt>
                <c:pt idx="3">
                  <c:v>4.4611133333333335</c:v>
                </c:pt>
                <c:pt idx="4">
                  <c:v>5.0041466666666663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ED-4AB7-BD75-8213131BA220}"/>
            </c:ext>
          </c:extLst>
        </c:ser>
        <c:ser>
          <c:idx val="1"/>
          <c:order val="1"/>
          <c:tx>
            <c:strRef>
              <c:f>'DADOS NATURAL'!$K$38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'DADOS NATURAL'!$R$40:$R$42</c:f>
              <c:numCache>
                <c:formatCode>General</c:formatCode>
                <c:ptCount val="3"/>
                <c:pt idx="0">
                  <c:v>0</c:v>
                </c:pt>
                <c:pt idx="1">
                  <c:v>60</c:v>
                </c:pt>
                <c:pt idx="2">
                  <c:v>90</c:v>
                </c:pt>
              </c:numCache>
            </c:numRef>
          </c:xVal>
          <c:yVal>
            <c:numRef>
              <c:f>'DADOS NATURAL'!$S$40:$S$42</c:f>
              <c:numCache>
                <c:formatCode>#,##0.00</c:formatCode>
                <c:ptCount val="3"/>
                <c:pt idx="0">
                  <c:v>4.0180800000000003</c:v>
                </c:pt>
                <c:pt idx="1">
                  <c:v>1.5055333333333336</c:v>
                </c:pt>
                <c:pt idx="2">
                  <c:v>2.1481266666666663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ED-4AB7-BD75-8213131BA220}"/>
            </c:ext>
          </c:extLst>
        </c:ser>
        <c:ser>
          <c:idx val="2"/>
          <c:order val="2"/>
          <c:tx>
            <c:strRef>
              <c:f>'DADOS NATURAL'!$U$38</c:f>
              <c:strCache>
                <c:ptCount val="1"/>
                <c:pt idx="0">
                  <c:v>Euricuri</c:v>
                </c:pt>
              </c:strCache>
            </c:strRef>
          </c:tx>
          <c:spPr>
            <a:ln w="28575" cmpd="sng">
              <a:solidFill>
                <a:schemeClr val="accent3">
                  <a:lumMod val="60000"/>
                  <a:lumOff val="40000"/>
                </a:schemeClr>
              </a:solidFill>
              <a:headEnd w="sm" len="sm"/>
              <a:tailEnd w="sm" len="sm"/>
            </a:ln>
          </c:spPr>
          <c:marker>
            <c:symbol val="triangle"/>
            <c:size val="7"/>
            <c:spPr>
              <a:ln w="15875"/>
            </c:spPr>
          </c:marker>
          <c:xVal>
            <c:numRef>
              <c:f>'DADOS NATURAL'!$AB$40:$AB$42</c:f>
              <c:numCache>
                <c:formatCode>General</c:formatCode>
                <c:ptCount val="3"/>
                <c:pt idx="0">
                  <c:v>0</c:v>
                </c:pt>
                <c:pt idx="1">
                  <c:v>60</c:v>
                </c:pt>
                <c:pt idx="2">
                  <c:v>90</c:v>
                </c:pt>
              </c:numCache>
            </c:numRef>
          </c:xVal>
          <c:yVal>
            <c:numRef>
              <c:f>'DADOS NATURAL'!$AC$40:$AC$42</c:f>
              <c:numCache>
                <c:formatCode>#,##0.00</c:formatCode>
                <c:ptCount val="3"/>
                <c:pt idx="0">
                  <c:v>4.8194266666666667</c:v>
                </c:pt>
                <c:pt idx="1">
                  <c:v>1.6708733333333332</c:v>
                </c:pt>
                <c:pt idx="2">
                  <c:v>1.6514066666666667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ED-4AB7-BD75-8213131BA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33248"/>
        <c:axId val="52957952"/>
      </c:scatterChart>
      <c:valAx>
        <c:axId val="5933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Tempo de exposição (dias)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2957952"/>
        <c:crosses val="autoZero"/>
        <c:crossBetween val="midCat"/>
        <c:majorUnit val="30"/>
      </c:valAx>
      <c:valAx>
        <c:axId val="52957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Deformação  (%)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593332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'DADOS NATURAL'!$A$1:$F$1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'DADOS NATURAL'!$G$3:$G$7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180</c:v>
                </c:pt>
              </c:numCache>
            </c:numRef>
          </c:xVal>
          <c:yVal>
            <c:numRef>
              <c:f>'DADOS NATURAL'!$H$3:$H$7</c:f>
              <c:numCache>
                <c:formatCode>#,##0.00</c:formatCode>
                <c:ptCount val="5"/>
                <c:pt idx="0">
                  <c:v>95.029380000000003</c:v>
                </c:pt>
                <c:pt idx="1">
                  <c:v>55.90502</c:v>
                </c:pt>
                <c:pt idx="2">
                  <c:v>52.221609999999998</c:v>
                </c:pt>
                <c:pt idx="3">
                  <c:v>38.933639999999997</c:v>
                </c:pt>
                <c:pt idx="4">
                  <c:v>33.972560000000001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AD-4B4F-BEE4-62702ADC5071}"/>
            </c:ext>
          </c:extLst>
        </c:ser>
        <c:ser>
          <c:idx val="1"/>
          <c:order val="1"/>
          <c:tx>
            <c:strRef>
              <c:f>'DADOS NATURAL'!$I$1:$N$1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'DADOS NATURAL'!$O$3:$O$5</c:f>
              <c:numCache>
                <c:formatCode>General</c:formatCode>
                <c:ptCount val="3"/>
                <c:pt idx="0">
                  <c:v>0</c:v>
                </c:pt>
                <c:pt idx="1">
                  <c:v>60</c:v>
                </c:pt>
                <c:pt idx="2">
                  <c:v>90</c:v>
                </c:pt>
              </c:numCache>
            </c:numRef>
          </c:xVal>
          <c:yVal>
            <c:numRef>
              <c:f>'DADOS NATURAL'!$P$3:$P$5</c:f>
              <c:numCache>
                <c:formatCode>#,##0.00</c:formatCode>
                <c:ptCount val="3"/>
                <c:pt idx="0">
                  <c:v>80.496539999999996</c:v>
                </c:pt>
                <c:pt idx="1">
                  <c:v>2.4965899999999999</c:v>
                </c:pt>
                <c:pt idx="2">
                  <c:v>2.4755500000000001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AD-4B4F-BEE4-62702ADC5071}"/>
            </c:ext>
          </c:extLst>
        </c:ser>
        <c:ser>
          <c:idx val="2"/>
          <c:order val="2"/>
          <c:tx>
            <c:strRef>
              <c:f>'DADOS NATURAL'!$Q$1:$V$1</c:f>
              <c:strCache>
                <c:ptCount val="1"/>
                <c:pt idx="0">
                  <c:v>Euricuri</c:v>
                </c:pt>
              </c:strCache>
            </c:strRef>
          </c:tx>
          <c:spPr>
            <a:ln w="28575" cmpd="sng">
              <a:solidFill>
                <a:schemeClr val="accent3">
                  <a:lumMod val="60000"/>
                  <a:lumOff val="40000"/>
                </a:schemeClr>
              </a:solidFill>
              <a:headEnd w="sm" len="sm"/>
              <a:tailEnd w="sm" len="sm"/>
            </a:ln>
          </c:spPr>
          <c:marker>
            <c:symbol val="triangle"/>
            <c:size val="7"/>
            <c:spPr>
              <a:ln w="15875"/>
            </c:spPr>
          </c:marker>
          <c:xVal>
            <c:numRef>
              <c:f>'DADOS NATURAL'!$W$3:$W$5</c:f>
              <c:numCache>
                <c:formatCode>General</c:formatCode>
                <c:ptCount val="3"/>
                <c:pt idx="0">
                  <c:v>0</c:v>
                </c:pt>
                <c:pt idx="1">
                  <c:v>60</c:v>
                </c:pt>
                <c:pt idx="2">
                  <c:v>90</c:v>
                </c:pt>
              </c:numCache>
            </c:numRef>
          </c:xVal>
          <c:yVal>
            <c:numRef>
              <c:f>'DADOS NATURAL'!$X$3:$X$5</c:f>
              <c:numCache>
                <c:formatCode>#,##0.00</c:formatCode>
                <c:ptCount val="3"/>
                <c:pt idx="0">
                  <c:v>152.32115999999999</c:v>
                </c:pt>
                <c:pt idx="1">
                  <c:v>8.4408899999999996</c:v>
                </c:pt>
                <c:pt idx="2">
                  <c:v>6.044575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AD-4B4F-BEE4-62702ADC5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74176"/>
        <c:axId val="53691904"/>
      </c:scatterChart>
      <c:valAx>
        <c:axId val="53074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Tempo de exposição (dias)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691904"/>
        <c:crosses val="autoZero"/>
        <c:crossBetween val="midCat"/>
        <c:majorUnit val="30"/>
      </c:valAx>
      <c:valAx>
        <c:axId val="53691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Tensão de ruptura (N)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5307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/>
              <a:t>Variação da tensão de ruptura de acordo com o tempo de exposição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RADIAÇÃO!$A$1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RADIAÇÃO!$G$3:$G$7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RADIAÇÃO!$H$3:$H$7</c:f>
              <c:numCache>
                <c:formatCode>#,##0.00</c:formatCode>
                <c:ptCount val="5"/>
                <c:pt idx="0">
                  <c:v>95.029380000000003</c:v>
                </c:pt>
                <c:pt idx="1">
                  <c:v>92.668940000000006</c:v>
                </c:pt>
                <c:pt idx="2">
                  <c:v>81.787909999999997</c:v>
                </c:pt>
                <c:pt idx="3">
                  <c:v>64.731189999999998</c:v>
                </c:pt>
                <c:pt idx="4">
                  <c:v>81.662670000000006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B-45E3-BFB5-D0126A936A71}"/>
            </c:ext>
          </c:extLst>
        </c:ser>
        <c:ser>
          <c:idx val="1"/>
          <c:order val="1"/>
          <c:tx>
            <c:strRef>
              <c:f>RADIAÇÃO!$I$1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RADIAÇÃO!$O$3:$O$7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RADIAÇÃO!$P$3:$P$7</c:f>
              <c:numCache>
                <c:formatCode>0.00</c:formatCode>
                <c:ptCount val="5"/>
                <c:pt idx="0">
                  <c:v>72.554423999999997</c:v>
                </c:pt>
                <c:pt idx="1">
                  <c:v>77.738782</c:v>
                </c:pt>
                <c:pt idx="2">
                  <c:v>78.289540000000002</c:v>
                </c:pt>
                <c:pt idx="3">
                  <c:v>58.650934000000007</c:v>
                </c:pt>
                <c:pt idx="4">
                  <c:v>90.852400000000017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3B-45E3-BFB5-D0126A936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0352"/>
        <c:axId val="52998912"/>
      </c:scatterChart>
      <c:valAx>
        <c:axId val="5298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2998912"/>
        <c:crosses val="autoZero"/>
        <c:crossBetween val="midCat"/>
        <c:majorUnit val="240"/>
      </c:valAx>
      <c:valAx>
        <c:axId val="52998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900" b="1" i="0" baseline="0">
                    <a:effectLst/>
                  </a:rPr>
                  <a:t>Tensão de ruptura (N)</a:t>
                </a:r>
                <a:endParaRPr lang="pt-BR" sz="900">
                  <a:effectLst/>
                </a:endParaRP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52980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/>
              <a:t>Variação da deformação de acordo com o tempo de exposição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RADIAÇÃO!$A$33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RADIAÇÃO!$H$35:$H$39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RADIAÇÃO!$I$35:$I$39</c:f>
              <c:numCache>
                <c:formatCode>#,##0.00</c:formatCode>
                <c:ptCount val="5"/>
                <c:pt idx="0">
                  <c:v>4.5749733333333324</c:v>
                </c:pt>
                <c:pt idx="1">
                  <c:v>3.1333199999999999</c:v>
                </c:pt>
                <c:pt idx="2">
                  <c:v>5.4097200000000001</c:v>
                </c:pt>
                <c:pt idx="3">
                  <c:v>3.6819333333333337</c:v>
                </c:pt>
                <c:pt idx="4">
                  <c:v>3.6194333333333337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4A-44AF-9CB2-60B6ACBB171F}"/>
            </c:ext>
          </c:extLst>
        </c:ser>
        <c:ser>
          <c:idx val="1"/>
          <c:order val="1"/>
          <c:tx>
            <c:strRef>
              <c:f>RADIAÇÃO!$J$33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RADIAÇÃO!$Q$35:$Q$39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RADIAÇÃO!$R$35:$R$39</c:f>
              <c:numCache>
                <c:formatCode>0.00</c:formatCode>
                <c:ptCount val="5"/>
                <c:pt idx="0">
                  <c:v>46.072213333333337</c:v>
                </c:pt>
                <c:pt idx="1">
                  <c:v>48.588839999999998</c:v>
                </c:pt>
                <c:pt idx="2">
                  <c:v>41.036066666666663</c:v>
                </c:pt>
                <c:pt idx="3">
                  <c:v>50.633320000000005</c:v>
                </c:pt>
                <c:pt idx="4">
                  <c:v>31.247213333333331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4A-44AF-9CB2-60B6ACBB1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20928"/>
        <c:axId val="53039488"/>
      </c:scatterChart>
      <c:valAx>
        <c:axId val="5302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039488"/>
        <c:crosses val="autoZero"/>
        <c:crossBetween val="midCat"/>
        <c:majorUnit val="240"/>
      </c:valAx>
      <c:valAx>
        <c:axId val="53039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900" b="1" i="0" baseline="0">
                    <a:effectLst/>
                  </a:rPr>
                  <a:t>deformação (%)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5302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/>
              <a:t>Variação da tensão de ruptura de acordo com o tempo de exposição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[1]RADIAÇÃO!$A$1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[1]RADIAÇÃO!$G$3:$G$7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[1]RADIAÇÃO!$H$3:$H$7</c:f>
              <c:numCache>
                <c:formatCode>General</c:formatCode>
                <c:ptCount val="5"/>
                <c:pt idx="0">
                  <c:v>107.55778000000001</c:v>
                </c:pt>
                <c:pt idx="1">
                  <c:v>85.674890000000005</c:v>
                </c:pt>
                <c:pt idx="2">
                  <c:v>74.437259999999995</c:v>
                </c:pt>
                <c:pt idx="3">
                  <c:v>68.22483600000001</c:v>
                </c:pt>
                <c:pt idx="4">
                  <c:v>81.389666000000005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80-438F-905A-30B9972A32DA}"/>
            </c:ext>
          </c:extLst>
        </c:ser>
        <c:ser>
          <c:idx val="1"/>
          <c:order val="1"/>
          <c:tx>
            <c:strRef>
              <c:f>[1]RADIAÇÃO!$I$1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[1]RADIAÇÃO!$O$3:$O$7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[1]RADIAÇÃO!$P$3:$P$7</c:f>
              <c:numCache>
                <c:formatCode>General</c:formatCode>
                <c:ptCount val="5"/>
                <c:pt idx="0">
                  <c:v>72.554423999999997</c:v>
                </c:pt>
                <c:pt idx="1">
                  <c:v>77.738782</c:v>
                </c:pt>
                <c:pt idx="2">
                  <c:v>78.289540000000002</c:v>
                </c:pt>
                <c:pt idx="3">
                  <c:v>58.650934000000007</c:v>
                </c:pt>
                <c:pt idx="4">
                  <c:v>90.852400000000017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80-438F-905A-30B9972A3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0352"/>
        <c:axId val="52998912"/>
      </c:scatterChart>
      <c:valAx>
        <c:axId val="5298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2998912"/>
        <c:crosses val="autoZero"/>
        <c:crossBetween val="midCat"/>
        <c:majorUnit val="240"/>
      </c:valAx>
      <c:valAx>
        <c:axId val="52998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900" b="1" i="0" baseline="0">
                    <a:effectLst/>
                  </a:rPr>
                  <a:t>Tensão de ruptura (N)</a:t>
                </a:r>
                <a:endParaRPr lang="pt-BR" sz="900">
                  <a:effectLst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2980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/>
              <a:t>Variação da deformação de acordo com o tempo de exposição</a:t>
            </a:r>
          </a:p>
        </c:rich>
      </c:tx>
      <c:layout>
        <c:manualLayout>
          <c:xMode val="edge"/>
          <c:yMode val="edge"/>
          <c:x val="0.22164602297312572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[1]RADIAÇÃO!$A$33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[1]RADIAÇÃO!$H$35:$H$39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[1]RADIAÇÃO!$I$35:$I$39</c:f>
              <c:numCache>
                <c:formatCode>General</c:formatCode>
                <c:ptCount val="5"/>
                <c:pt idx="0">
                  <c:v>46.777746666666665</c:v>
                </c:pt>
                <c:pt idx="1">
                  <c:v>42.44441333333333</c:v>
                </c:pt>
                <c:pt idx="2">
                  <c:v>40.855599999999995</c:v>
                </c:pt>
                <c:pt idx="3">
                  <c:v>45.116493333333338</c:v>
                </c:pt>
                <c:pt idx="4">
                  <c:v>45.041613333333331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2-4DFB-8916-50C68E1E3BF8}"/>
            </c:ext>
          </c:extLst>
        </c:ser>
        <c:ser>
          <c:idx val="1"/>
          <c:order val="1"/>
          <c:tx>
            <c:strRef>
              <c:f>[1]RADIAÇÃO!$J$33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[1]RADIAÇÃO!$Q$35:$Q$39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[1]RADIAÇÃO!$R$35:$R$39</c:f>
              <c:numCache>
                <c:formatCode>General</c:formatCode>
                <c:ptCount val="5"/>
                <c:pt idx="0">
                  <c:v>46.072213333333337</c:v>
                </c:pt>
                <c:pt idx="1">
                  <c:v>48.588839999999998</c:v>
                </c:pt>
                <c:pt idx="2">
                  <c:v>41.036066666666663</c:v>
                </c:pt>
                <c:pt idx="3">
                  <c:v>50.633320000000005</c:v>
                </c:pt>
                <c:pt idx="4">
                  <c:v>31.247213333333331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02-4DFB-8916-50C68E1E3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20928"/>
        <c:axId val="53039488"/>
      </c:scatterChart>
      <c:valAx>
        <c:axId val="5302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039488"/>
        <c:crosses val="autoZero"/>
        <c:crossBetween val="midCat"/>
        <c:majorUnit val="240"/>
      </c:valAx>
      <c:valAx>
        <c:axId val="53039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900" b="1" i="0" baseline="0">
                    <a:effectLst/>
                  </a:rPr>
                  <a:t>deformação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02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/>
              <a:t>Variação da tensão de ruptura de acordo com o tempo de exposição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[2]RADIAÇÃO!$A$1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[2]RADIAÇÃO!$G$3:$G$7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[2]RADIAÇÃO!$H$3:$H$7</c:f>
              <c:numCache>
                <c:formatCode>General</c:formatCode>
                <c:ptCount val="5"/>
                <c:pt idx="0">
                  <c:v>107.55778000000001</c:v>
                </c:pt>
                <c:pt idx="1">
                  <c:v>85.674890000000005</c:v>
                </c:pt>
                <c:pt idx="2">
                  <c:v>74.437259999999995</c:v>
                </c:pt>
                <c:pt idx="3">
                  <c:v>68.22483600000001</c:v>
                </c:pt>
                <c:pt idx="4">
                  <c:v>81.389666000000005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C5-492E-B3CD-86E8AC345378}"/>
            </c:ext>
          </c:extLst>
        </c:ser>
        <c:ser>
          <c:idx val="1"/>
          <c:order val="1"/>
          <c:tx>
            <c:strRef>
              <c:f>[2]RADIAÇÃO!$I$1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[2]RADIAÇÃO!$O$3:$O$7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[2]RADIAÇÃO!$P$3:$P$7</c:f>
              <c:numCache>
                <c:formatCode>General</c:formatCode>
                <c:ptCount val="5"/>
                <c:pt idx="0">
                  <c:v>72.554423999999997</c:v>
                </c:pt>
                <c:pt idx="1">
                  <c:v>77.738782</c:v>
                </c:pt>
                <c:pt idx="2">
                  <c:v>78.289540000000002</c:v>
                </c:pt>
                <c:pt idx="3">
                  <c:v>58.650934000000007</c:v>
                </c:pt>
                <c:pt idx="4">
                  <c:v>90.852400000000017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C5-492E-B3CD-86E8AC345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0352"/>
        <c:axId val="52998912"/>
      </c:scatterChart>
      <c:valAx>
        <c:axId val="5298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2998912"/>
        <c:crosses val="autoZero"/>
        <c:crossBetween val="midCat"/>
        <c:majorUnit val="240"/>
      </c:valAx>
      <c:valAx>
        <c:axId val="52998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900" b="1" i="0" baseline="0">
                    <a:effectLst/>
                  </a:rPr>
                  <a:t>Tensão de ruptura (N)</a:t>
                </a:r>
                <a:endParaRPr lang="pt-BR" sz="900">
                  <a:effectLst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2980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/>
              <a:t>Variação da deformação de acordo com o tempo de exposição</a:t>
            </a:r>
          </a:p>
        </c:rich>
      </c:tx>
      <c:layout>
        <c:manualLayout>
          <c:xMode val="edge"/>
          <c:yMode val="edge"/>
          <c:x val="0.21381263186658078"/>
          <c:y val="2.8227669116892555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[2]RADIAÇÃO!$A$33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[2]RADIAÇÃO!$H$35:$H$39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[2]RADIAÇÃO!$I$35:$I$39</c:f>
              <c:numCache>
                <c:formatCode>General</c:formatCode>
                <c:ptCount val="5"/>
                <c:pt idx="0">
                  <c:v>46.777746666666665</c:v>
                </c:pt>
                <c:pt idx="1">
                  <c:v>42.44441333333333</c:v>
                </c:pt>
                <c:pt idx="2">
                  <c:v>40.855599999999995</c:v>
                </c:pt>
                <c:pt idx="3">
                  <c:v>45.116493333333338</c:v>
                </c:pt>
                <c:pt idx="4">
                  <c:v>45.041613333333331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0A-498F-9985-238AA1BAA114}"/>
            </c:ext>
          </c:extLst>
        </c:ser>
        <c:ser>
          <c:idx val="1"/>
          <c:order val="1"/>
          <c:tx>
            <c:strRef>
              <c:f>[2]RADIAÇÃO!$J$33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[2]RADIAÇÃO!$Q$35:$Q$39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480</c:v>
                </c:pt>
                <c:pt idx="4">
                  <c:v>960</c:v>
                </c:pt>
              </c:numCache>
            </c:numRef>
          </c:xVal>
          <c:yVal>
            <c:numRef>
              <c:f>[2]RADIAÇÃO!$R$35:$R$39</c:f>
              <c:numCache>
                <c:formatCode>General</c:formatCode>
                <c:ptCount val="5"/>
                <c:pt idx="0">
                  <c:v>46.072213333333337</c:v>
                </c:pt>
                <c:pt idx="1">
                  <c:v>48.588839999999998</c:v>
                </c:pt>
                <c:pt idx="2">
                  <c:v>41.036066666666663</c:v>
                </c:pt>
                <c:pt idx="3">
                  <c:v>50.633320000000005</c:v>
                </c:pt>
                <c:pt idx="4">
                  <c:v>31.247213333333331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0A-498F-9985-238AA1BAA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20928"/>
        <c:axId val="53039488"/>
      </c:scatterChart>
      <c:valAx>
        <c:axId val="5302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039488"/>
        <c:crosses val="autoZero"/>
        <c:crossBetween val="midCat"/>
        <c:majorUnit val="240"/>
      </c:valAx>
      <c:valAx>
        <c:axId val="53039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900" b="1" i="0" baseline="0">
                    <a:effectLst/>
                  </a:rPr>
                  <a:t>deformação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02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 b="1" i="0" kern="1200" baseline="0">
                <a:solidFill>
                  <a:srgbClr val="000000"/>
                </a:solidFill>
                <a:effectLst/>
              </a:rPr>
              <a:t>Variação da tensão de ruptura de acordo com o tempo de exposição</a:t>
            </a:r>
            <a:endParaRPr lang="pt-BR" sz="1600">
              <a:effectLst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SATURAÇÃO!$I$1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SATURAÇÃO!$O$3:$O$7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SATURAÇÃO!$P$3:$P$7</c:f>
              <c:numCache>
                <c:formatCode>0.00</c:formatCode>
                <c:ptCount val="5"/>
                <c:pt idx="0">
                  <c:v>72.554423999999997</c:v>
                </c:pt>
                <c:pt idx="1">
                  <c:v>59.038088000000002</c:v>
                </c:pt>
                <c:pt idx="2">
                  <c:v>66.467821999999984</c:v>
                </c:pt>
                <c:pt idx="3">
                  <c:v>66.589461999999997</c:v>
                </c:pt>
                <c:pt idx="4">
                  <c:v>39.16522333333333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8D-4EEB-A207-4162A7AA47AD}"/>
            </c:ext>
          </c:extLst>
        </c:ser>
        <c:ser>
          <c:idx val="1"/>
          <c:order val="1"/>
          <c:tx>
            <c:strRef>
              <c:f>SATURAÇÃO!$A$1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SATURAÇÃO!$G$3:$G$7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SATURAÇÃO!$H$3:$H$7</c:f>
              <c:numCache>
                <c:formatCode>0.00</c:formatCode>
                <c:ptCount val="5"/>
                <c:pt idx="0">
                  <c:v>95.029380000000003</c:v>
                </c:pt>
                <c:pt idx="1">
                  <c:v>72.84</c:v>
                </c:pt>
                <c:pt idx="2">
                  <c:v>86.045310000000001</c:v>
                </c:pt>
                <c:pt idx="3">
                  <c:v>84.701120000000003</c:v>
                </c:pt>
                <c:pt idx="4">
                  <c:v>79.010000000000005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8D-4EEB-A207-4162A7AA4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0496"/>
        <c:axId val="53784960"/>
      </c:scatterChart>
      <c:valAx>
        <c:axId val="5377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84960"/>
        <c:crosses val="autoZero"/>
        <c:crossBetween val="midCat"/>
      </c:valAx>
      <c:valAx>
        <c:axId val="5378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Tensão de ruptura (N)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3770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kern="1200" baseline="0">
                <a:solidFill>
                  <a:srgbClr val="000000"/>
                </a:solidFill>
                <a:effectLst/>
              </a:rPr>
              <a:t>Variação da deformação de acordo com o tempo de exposição</a:t>
            </a:r>
            <a:endParaRPr lang="pt-BR">
              <a:effectLst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SATURAÇÃO!$A$30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SATURAÇÃO!$H$32:$H$36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SATURAÇÃO!$I$32:$I$36</c:f>
              <c:numCache>
                <c:formatCode>0.00</c:formatCode>
                <c:ptCount val="5"/>
                <c:pt idx="0">
                  <c:v>4.5749733333333324</c:v>
                </c:pt>
                <c:pt idx="1">
                  <c:v>4.5694333333333326</c:v>
                </c:pt>
                <c:pt idx="2">
                  <c:v>4.7430333333333339</c:v>
                </c:pt>
                <c:pt idx="3">
                  <c:v>3.7194333333333338</c:v>
                </c:pt>
                <c:pt idx="4">
                  <c:v>4.6708200000000009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DF-4F06-A991-C505F8375CE2}"/>
            </c:ext>
          </c:extLst>
        </c:ser>
        <c:ser>
          <c:idx val="1"/>
          <c:order val="1"/>
          <c:tx>
            <c:strRef>
              <c:f>SATURAÇÃO!$J$30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SATURAÇÃO!$Q$32:$Q$36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SATURAÇÃO!$R$32:$R$36</c:f>
              <c:numCache>
                <c:formatCode>0.00</c:formatCode>
                <c:ptCount val="5"/>
                <c:pt idx="0">
                  <c:v>46.072213333333337</c:v>
                </c:pt>
                <c:pt idx="1">
                  <c:v>52.916560000000004</c:v>
                </c:pt>
                <c:pt idx="2">
                  <c:v>60.227773333333332</c:v>
                </c:pt>
                <c:pt idx="3">
                  <c:v>45.269360000000006</c:v>
                </c:pt>
                <c:pt idx="4">
                  <c:v>70.120311111111107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DF-4F06-A991-C505F8375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84800"/>
        <c:axId val="53886976"/>
      </c:scatterChart>
      <c:valAx>
        <c:axId val="5388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Tempo de exposição (horas)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886976"/>
        <c:crosses val="autoZero"/>
        <c:crossBetween val="midCat"/>
        <c:majorUnit val="200"/>
      </c:valAx>
      <c:valAx>
        <c:axId val="53886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Deformação (%)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53884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 b="1" i="0" kern="1200" baseline="0">
                <a:solidFill>
                  <a:srgbClr val="000000"/>
                </a:solidFill>
                <a:effectLst/>
              </a:rPr>
              <a:t>Variação da tensão de ruptura de acordo com o tempo de exposição</a:t>
            </a:r>
            <a:endParaRPr lang="pt-BR" sz="1600">
              <a:effectLst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SATURAÇÃO!$I$1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SATURAÇÃO!$O$3:$O$7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SATURAÇÃO!$P$3:$P$7</c:f>
              <c:numCache>
                <c:formatCode>0.00</c:formatCode>
                <c:ptCount val="5"/>
                <c:pt idx="0">
                  <c:v>72.554423999999997</c:v>
                </c:pt>
                <c:pt idx="1">
                  <c:v>59.038088000000002</c:v>
                </c:pt>
                <c:pt idx="2">
                  <c:v>66.467821999999984</c:v>
                </c:pt>
                <c:pt idx="3">
                  <c:v>66.589461999999997</c:v>
                </c:pt>
                <c:pt idx="4">
                  <c:v>39.16522333333333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41-4E5F-B2DB-292067EF2686}"/>
            </c:ext>
          </c:extLst>
        </c:ser>
        <c:ser>
          <c:idx val="1"/>
          <c:order val="1"/>
          <c:tx>
            <c:strRef>
              <c:f>SATURAÇÃO!$A$1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SATURAÇÃO!$G$3:$G$7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SATURAÇÃO!$H$3:$H$7</c:f>
              <c:numCache>
                <c:formatCode>0.00</c:formatCode>
                <c:ptCount val="5"/>
                <c:pt idx="0">
                  <c:v>95.029380000000003</c:v>
                </c:pt>
                <c:pt idx="1">
                  <c:v>72.84</c:v>
                </c:pt>
                <c:pt idx="2">
                  <c:v>86.045310000000001</c:v>
                </c:pt>
                <c:pt idx="3">
                  <c:v>84.701120000000003</c:v>
                </c:pt>
                <c:pt idx="4">
                  <c:v>79.010000000000005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41-4E5F-B2DB-292067EF2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0496"/>
        <c:axId val="53784960"/>
      </c:scatterChart>
      <c:valAx>
        <c:axId val="5377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84960"/>
        <c:crosses val="autoZero"/>
        <c:crossBetween val="midCat"/>
      </c:valAx>
      <c:valAx>
        <c:axId val="5378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Tensão de ruptura (N)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3770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kern="1200" baseline="0">
                <a:solidFill>
                  <a:srgbClr val="000000"/>
                </a:solidFill>
                <a:effectLst/>
              </a:rPr>
              <a:t>Variação da deformação de acordo com o tempo de exposição</a:t>
            </a:r>
            <a:endParaRPr lang="pt-BR">
              <a:effectLst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SATURAÇÃO!$A$30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SATURAÇÃO!$H$32:$H$36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SATURAÇÃO!$I$32:$I$36</c:f>
              <c:numCache>
                <c:formatCode>0.00</c:formatCode>
                <c:ptCount val="5"/>
                <c:pt idx="0">
                  <c:v>4.5749733333333324</c:v>
                </c:pt>
                <c:pt idx="1">
                  <c:v>4.5694333333333326</c:v>
                </c:pt>
                <c:pt idx="2">
                  <c:v>4.7430333333333339</c:v>
                </c:pt>
                <c:pt idx="3">
                  <c:v>3.7194333333333338</c:v>
                </c:pt>
                <c:pt idx="4">
                  <c:v>4.6708200000000009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70-439B-9B0C-40E1D736564D}"/>
            </c:ext>
          </c:extLst>
        </c:ser>
        <c:ser>
          <c:idx val="1"/>
          <c:order val="1"/>
          <c:tx>
            <c:strRef>
              <c:f>SATURAÇÃO!$J$30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SATURAÇÃO!$Q$32:$Q$36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SATURAÇÃO!$R$32:$R$36</c:f>
              <c:numCache>
                <c:formatCode>0.00</c:formatCode>
                <c:ptCount val="5"/>
                <c:pt idx="0">
                  <c:v>46.072213333333337</c:v>
                </c:pt>
                <c:pt idx="1">
                  <c:v>52.916560000000004</c:v>
                </c:pt>
                <c:pt idx="2">
                  <c:v>60.227773333333332</c:v>
                </c:pt>
                <c:pt idx="3">
                  <c:v>45.269360000000006</c:v>
                </c:pt>
                <c:pt idx="4">
                  <c:v>70.120311111111107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70-439B-9B0C-40E1D7365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84800"/>
        <c:axId val="53886976"/>
      </c:scatterChart>
      <c:valAx>
        <c:axId val="5388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Tempo de exposição (horas)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886976"/>
        <c:crosses val="autoZero"/>
        <c:crossBetween val="midCat"/>
        <c:majorUnit val="200"/>
      </c:valAx>
      <c:valAx>
        <c:axId val="53886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Deformação (%)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53884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 b="1" i="0" kern="1200" baseline="0">
                <a:solidFill>
                  <a:srgbClr val="000000"/>
                </a:solidFill>
                <a:effectLst/>
              </a:rPr>
              <a:t>Variação da tensão de ruptura de acordo com o tempo de exposição</a:t>
            </a:r>
            <a:endParaRPr lang="pt-BR" sz="1600">
              <a:effectLst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[1]SATURAÇÃO!$I$1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[1]SATURAÇÃO!$O$3:$O$7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[1]SATURAÇÃO!$P$3:$P$7</c:f>
              <c:numCache>
                <c:formatCode>General</c:formatCode>
                <c:ptCount val="5"/>
                <c:pt idx="0">
                  <c:v>72.554423999999997</c:v>
                </c:pt>
                <c:pt idx="1">
                  <c:v>59.038088000000002</c:v>
                </c:pt>
                <c:pt idx="2">
                  <c:v>66.467821999999984</c:v>
                </c:pt>
                <c:pt idx="3">
                  <c:v>66.589461999999997</c:v>
                </c:pt>
                <c:pt idx="4">
                  <c:v>39.16522333333333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94-4D4A-B691-5B62CF866CA3}"/>
            </c:ext>
          </c:extLst>
        </c:ser>
        <c:ser>
          <c:idx val="1"/>
          <c:order val="1"/>
          <c:tx>
            <c:strRef>
              <c:f>[1]SATURAÇÃO!$A$1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[1]SATURAÇÃO!$G$3:$G$7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[1]SATURAÇÃO!$H$3:$H$7</c:f>
              <c:numCache>
                <c:formatCode>General</c:formatCode>
                <c:ptCount val="5"/>
                <c:pt idx="0">
                  <c:v>107.55778000000001</c:v>
                </c:pt>
                <c:pt idx="1">
                  <c:v>72.837167999999991</c:v>
                </c:pt>
                <c:pt idx="2">
                  <c:v>83.888621999999998</c:v>
                </c:pt>
                <c:pt idx="3">
                  <c:v>79.033953999999994</c:v>
                </c:pt>
                <c:pt idx="4">
                  <c:v>79.01003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94-4D4A-B691-5B62CF866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0496"/>
        <c:axId val="53784960"/>
      </c:scatterChart>
      <c:valAx>
        <c:axId val="5377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84960"/>
        <c:crosses val="autoZero"/>
        <c:crossBetween val="midCat"/>
      </c:valAx>
      <c:valAx>
        <c:axId val="5378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Tensão de ruptura (N)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70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kern="1200" baseline="0">
                <a:solidFill>
                  <a:srgbClr val="000000"/>
                </a:solidFill>
                <a:effectLst/>
              </a:rPr>
              <a:t>Variação da deformação de acordo com o tempo de exposição</a:t>
            </a:r>
            <a:endParaRPr lang="pt-BR">
              <a:effectLst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[1]SATURAÇÃO!$A$30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[1]SATURAÇÃO!$H$32:$H$36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[1]SATURAÇÃO!$I$32:$I$36</c:f>
              <c:numCache>
                <c:formatCode>General</c:formatCode>
                <c:ptCount val="5"/>
                <c:pt idx="0">
                  <c:v>46.777746666666665</c:v>
                </c:pt>
                <c:pt idx="1">
                  <c:v>53.465249999999997</c:v>
                </c:pt>
                <c:pt idx="2">
                  <c:v>45.799986666666669</c:v>
                </c:pt>
                <c:pt idx="3">
                  <c:v>50.011040000000001</c:v>
                </c:pt>
                <c:pt idx="4">
                  <c:v>48.95473333333333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78-431E-AF14-A12B9D7EB3F1}"/>
            </c:ext>
          </c:extLst>
        </c:ser>
        <c:ser>
          <c:idx val="1"/>
          <c:order val="1"/>
          <c:tx>
            <c:strRef>
              <c:f>[1]SATURAÇÃO!$J$30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[1]SATURAÇÃO!$Q$32:$Q$36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[1]SATURAÇÃO!$R$32:$R$36</c:f>
              <c:numCache>
                <c:formatCode>General</c:formatCode>
                <c:ptCount val="5"/>
                <c:pt idx="0">
                  <c:v>46.072213333333337</c:v>
                </c:pt>
                <c:pt idx="1">
                  <c:v>52.916560000000004</c:v>
                </c:pt>
                <c:pt idx="2">
                  <c:v>60.227773333333332</c:v>
                </c:pt>
                <c:pt idx="3">
                  <c:v>45.269360000000006</c:v>
                </c:pt>
                <c:pt idx="4">
                  <c:v>70.120311111111107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78-431E-AF14-A12B9D7EB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84800"/>
        <c:axId val="53886976"/>
      </c:scatterChart>
      <c:valAx>
        <c:axId val="5388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Tempo de exposição (horas)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886976"/>
        <c:crosses val="autoZero"/>
        <c:crossBetween val="midCat"/>
        <c:majorUnit val="200"/>
      </c:valAx>
      <c:valAx>
        <c:axId val="53886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Deformação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884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 b="1" i="0" kern="1200" baseline="0">
                <a:solidFill>
                  <a:srgbClr val="000000"/>
                </a:solidFill>
                <a:effectLst/>
              </a:rPr>
              <a:t>Variação da tensão de ruptura de acordo com o tempo de exposição</a:t>
            </a:r>
            <a:endParaRPr lang="pt-BR" sz="1600">
              <a:effectLst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[2]SATURAÇÃO!$I$1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[2]SATURAÇÃO!$O$3:$O$7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[2]SATURAÇÃO!$P$3:$P$7</c:f>
              <c:numCache>
                <c:formatCode>General</c:formatCode>
                <c:ptCount val="5"/>
                <c:pt idx="0">
                  <c:v>72.554423999999997</c:v>
                </c:pt>
                <c:pt idx="1">
                  <c:v>59.038088000000002</c:v>
                </c:pt>
                <c:pt idx="2">
                  <c:v>66.467821999999984</c:v>
                </c:pt>
                <c:pt idx="3">
                  <c:v>66.589461999999997</c:v>
                </c:pt>
                <c:pt idx="4">
                  <c:v>39.16522333333333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D1-425A-96A8-33618C125BD0}"/>
            </c:ext>
          </c:extLst>
        </c:ser>
        <c:ser>
          <c:idx val="1"/>
          <c:order val="1"/>
          <c:tx>
            <c:strRef>
              <c:f>[2]SATURAÇÃO!$A$1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[2]SATURAÇÃO!$G$3:$G$7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[2]SATURAÇÃO!$H$3:$H$7</c:f>
              <c:numCache>
                <c:formatCode>General</c:formatCode>
                <c:ptCount val="5"/>
                <c:pt idx="0">
                  <c:v>107.55778000000001</c:v>
                </c:pt>
                <c:pt idx="1">
                  <c:v>72.837167999999991</c:v>
                </c:pt>
                <c:pt idx="2">
                  <c:v>83.888621999999998</c:v>
                </c:pt>
                <c:pt idx="3">
                  <c:v>79.033953999999994</c:v>
                </c:pt>
                <c:pt idx="4">
                  <c:v>79.01003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D1-425A-96A8-33618C125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0496"/>
        <c:axId val="53784960"/>
      </c:scatterChart>
      <c:valAx>
        <c:axId val="5377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Tempo de exposição (horas)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84960"/>
        <c:crosses val="autoZero"/>
        <c:crossBetween val="midCat"/>
      </c:valAx>
      <c:valAx>
        <c:axId val="5378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 sz="1000" b="1" i="0" kern="1200" baseline="0">
                    <a:solidFill>
                      <a:srgbClr val="000000"/>
                    </a:solidFill>
                    <a:effectLst/>
                  </a:rPr>
                  <a:t>Tensão de ruptura (N)</a:t>
                </a:r>
                <a:endParaRPr lang="pt-BR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70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kern="1200" baseline="0">
                <a:solidFill>
                  <a:srgbClr val="000000"/>
                </a:solidFill>
                <a:effectLst/>
              </a:rPr>
              <a:t>Variação da deformação de acordo com o tempo de exposição</a:t>
            </a:r>
            <a:endParaRPr lang="pt-BR">
              <a:effectLst/>
            </a:endParaRP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[2]SATURAÇÃO!$A$30</c:f>
              <c:strCache>
                <c:ptCount val="1"/>
                <c:pt idx="0">
                  <c:v>Tabôa</c:v>
                </c:pt>
              </c:strCache>
            </c:strRef>
          </c:tx>
          <c:xVal>
            <c:numRef>
              <c:f>[2]SATURAÇÃO!$H$32:$H$36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[2]SATURAÇÃO!$I$32:$I$36</c:f>
              <c:numCache>
                <c:formatCode>General</c:formatCode>
                <c:ptCount val="5"/>
                <c:pt idx="0">
                  <c:v>46.777746666666665</c:v>
                </c:pt>
                <c:pt idx="1">
                  <c:v>53.465249999999997</c:v>
                </c:pt>
                <c:pt idx="2">
                  <c:v>45.799986666666669</c:v>
                </c:pt>
                <c:pt idx="3">
                  <c:v>50.011040000000001</c:v>
                </c:pt>
                <c:pt idx="4">
                  <c:v>48.95473333333333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8D-4EFF-AF7B-80B890156CB1}"/>
            </c:ext>
          </c:extLst>
        </c:ser>
        <c:ser>
          <c:idx val="1"/>
          <c:order val="1"/>
          <c:tx>
            <c:strRef>
              <c:f>[2]SATURAÇÃO!$J$30</c:f>
              <c:strCache>
                <c:ptCount val="1"/>
                <c:pt idx="0">
                  <c:v>Junco</c:v>
                </c:pt>
              </c:strCache>
            </c:strRef>
          </c:tx>
          <c:xVal>
            <c:numRef>
              <c:f>[2]SATURAÇÃO!$Q$32:$Q$36</c:f>
              <c:numCache>
                <c:formatCode>General</c:formatCode>
                <c:ptCount val="5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720</c:v>
                </c:pt>
              </c:numCache>
            </c:numRef>
          </c:xVal>
          <c:yVal>
            <c:numRef>
              <c:f>[2]SATURAÇÃO!$R$32:$R$36</c:f>
              <c:numCache>
                <c:formatCode>General</c:formatCode>
                <c:ptCount val="5"/>
                <c:pt idx="0">
                  <c:v>46.072213333333337</c:v>
                </c:pt>
                <c:pt idx="1">
                  <c:v>52.916560000000004</c:v>
                </c:pt>
                <c:pt idx="2">
                  <c:v>60.227773333333332</c:v>
                </c:pt>
                <c:pt idx="3">
                  <c:v>45.269360000000006</c:v>
                </c:pt>
                <c:pt idx="4">
                  <c:v>70.120311111111107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8D-4EFF-AF7B-80B890156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84800"/>
        <c:axId val="53886976"/>
      </c:scatterChart>
      <c:valAx>
        <c:axId val="5388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Tempo de exposição (horas)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886976"/>
        <c:crosses val="autoZero"/>
        <c:crossBetween val="midCat"/>
        <c:majorUnit val="200"/>
      </c:valAx>
      <c:valAx>
        <c:axId val="53886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Deformação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3884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549088</xdr:colOff>
      <xdr:row>17</xdr:row>
      <xdr:rowOff>158002</xdr:rowOff>
    </xdr:from>
    <xdr:to>
      <xdr:col>14</xdr:col>
      <xdr:colOff>280147</xdr:colOff>
      <xdr:row>32</xdr:row>
      <xdr:rowOff>43702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480163</xdr:colOff>
      <xdr:row>58</xdr:row>
      <xdr:rowOff>62631</xdr:rowOff>
    </xdr:from>
    <xdr:to>
      <xdr:col>18</xdr:col>
      <xdr:colOff>521918</xdr:colOff>
      <xdr:row>74</xdr:row>
      <xdr:rowOff>76201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549088</xdr:colOff>
      <xdr:row>17</xdr:row>
      <xdr:rowOff>158002</xdr:rowOff>
    </xdr:from>
    <xdr:to>
      <xdr:col>14</xdr:col>
      <xdr:colOff>280147</xdr:colOff>
      <xdr:row>32</xdr:row>
      <xdr:rowOff>43702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171450</xdr:colOff>
      <xdr:row>9</xdr:row>
      <xdr:rowOff>42862</xdr:rowOff>
    </xdr:from>
    <xdr:to>
      <xdr:col>21</xdr:col>
      <xdr:colOff>476250</xdr:colOff>
      <xdr:row>23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39</xdr:row>
      <xdr:rowOff>9525</xdr:rowOff>
    </xdr:from>
    <xdr:to>
      <xdr:col>23</xdr:col>
      <xdr:colOff>333375</xdr:colOff>
      <xdr:row>53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171450</xdr:colOff>
      <xdr:row>9</xdr:row>
      <xdr:rowOff>42862</xdr:rowOff>
    </xdr:from>
    <xdr:to>
      <xdr:col>21</xdr:col>
      <xdr:colOff>476250</xdr:colOff>
      <xdr:row>23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89551</xdr:colOff>
      <xdr:row>35</xdr:row>
      <xdr:rowOff>147922</xdr:rowOff>
    </xdr:from>
    <xdr:to>
      <xdr:col>33</xdr:col>
      <xdr:colOff>422926</xdr:colOff>
      <xdr:row>50</xdr:row>
      <xdr:rowOff>36879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171450</xdr:colOff>
      <xdr:row>9</xdr:row>
      <xdr:rowOff>42862</xdr:rowOff>
    </xdr:from>
    <xdr:to>
      <xdr:col>21</xdr:col>
      <xdr:colOff>476250</xdr:colOff>
      <xdr:row>23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464039</xdr:colOff>
      <xdr:row>33</xdr:row>
      <xdr:rowOff>50231</xdr:rowOff>
    </xdr:from>
    <xdr:to>
      <xdr:col>27</xdr:col>
      <xdr:colOff>219401</xdr:colOff>
      <xdr:row>47</xdr:row>
      <xdr:rowOff>126430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14287</xdr:rowOff>
    </xdr:from>
    <xdr:to>
      <xdr:col>21</xdr:col>
      <xdr:colOff>304800</xdr:colOff>
      <xdr:row>21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24</xdr:col>
      <xdr:colOff>378758</xdr:colOff>
      <xdr:row>50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</xdr:row>
      <xdr:rowOff>14287</xdr:rowOff>
    </xdr:from>
    <xdr:to>
      <xdr:col>21</xdr:col>
      <xdr:colOff>304800</xdr:colOff>
      <xdr:row>21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24</xdr:col>
      <xdr:colOff>378758</xdr:colOff>
      <xdr:row>50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7</xdr:row>
      <xdr:rowOff>14287</xdr:rowOff>
    </xdr:from>
    <xdr:to>
      <xdr:col>21</xdr:col>
      <xdr:colOff>304800</xdr:colOff>
      <xdr:row>21</xdr:row>
      <xdr:rowOff>90487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24</xdr:col>
      <xdr:colOff>378758</xdr:colOff>
      <xdr:row>50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7</xdr:row>
      <xdr:rowOff>14287</xdr:rowOff>
    </xdr:from>
    <xdr:to>
      <xdr:col>21</xdr:col>
      <xdr:colOff>304800</xdr:colOff>
      <xdr:row>21</xdr:row>
      <xdr:rowOff>90487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24</xdr:col>
      <xdr:colOff>378758</xdr:colOff>
      <xdr:row>50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luiz.santos/Downloads/DADOS%20TABELADOS%20TRA&#199;&#195;O%20I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luiz.santos/Downloads/DADOS%20TABELADOS%20TRA&#199;&#195;O%20II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TURAL"/>
      <sheetName val="RADIAÇÃO"/>
      <sheetName val="SATURAÇÃO"/>
      <sheetName val="Plan1"/>
    </sheetNames>
    <sheetDataSet>
      <sheetData sheetId="0">
        <row r="1">
          <cell r="A1" t="str">
            <v>Tabôa</v>
          </cell>
        </row>
      </sheetData>
      <sheetData sheetId="1">
        <row r="1">
          <cell r="A1" t="str">
            <v>Tabôa</v>
          </cell>
          <cell r="I1" t="str">
            <v>Junco</v>
          </cell>
        </row>
        <row r="3">
          <cell r="G3">
            <v>0</v>
          </cell>
          <cell r="H3">
            <v>107.55778000000001</v>
          </cell>
          <cell r="O3">
            <v>0</v>
          </cell>
          <cell r="P3">
            <v>72.554423999999997</v>
          </cell>
        </row>
        <row r="4">
          <cell r="G4">
            <v>120</v>
          </cell>
          <cell r="H4">
            <v>85.674890000000005</v>
          </cell>
          <cell r="O4">
            <v>120</v>
          </cell>
          <cell r="P4">
            <v>77.738782</v>
          </cell>
        </row>
        <row r="5">
          <cell r="G5">
            <v>240</v>
          </cell>
          <cell r="H5">
            <v>74.437259999999995</v>
          </cell>
          <cell r="O5">
            <v>240</v>
          </cell>
          <cell r="P5">
            <v>78.289540000000002</v>
          </cell>
        </row>
        <row r="6">
          <cell r="G6">
            <v>480</v>
          </cell>
          <cell r="H6">
            <v>68.22483600000001</v>
          </cell>
          <cell r="O6">
            <v>480</v>
          </cell>
          <cell r="P6">
            <v>58.650934000000007</v>
          </cell>
        </row>
        <row r="7">
          <cell r="G7">
            <v>960</v>
          </cell>
          <cell r="H7">
            <v>81.389666000000005</v>
          </cell>
          <cell r="O7">
            <v>960</v>
          </cell>
          <cell r="P7">
            <v>90.852400000000017</v>
          </cell>
        </row>
        <row r="33">
          <cell r="A33" t="str">
            <v>Tabôa</v>
          </cell>
          <cell r="J33" t="str">
            <v>Junco</v>
          </cell>
        </row>
        <row r="35">
          <cell r="H35">
            <v>0</v>
          </cell>
          <cell r="I35">
            <v>46.777746666666665</v>
          </cell>
          <cell r="Q35">
            <v>0</v>
          </cell>
          <cell r="R35">
            <v>46.072213333333337</v>
          </cell>
        </row>
        <row r="36">
          <cell r="H36">
            <v>120</v>
          </cell>
          <cell r="I36">
            <v>42.44441333333333</v>
          </cell>
          <cell r="Q36">
            <v>120</v>
          </cell>
          <cell r="R36">
            <v>48.588839999999998</v>
          </cell>
        </row>
        <row r="37">
          <cell r="H37">
            <v>240</v>
          </cell>
          <cell r="I37">
            <v>40.855599999999995</v>
          </cell>
          <cell r="Q37">
            <v>240</v>
          </cell>
          <cell r="R37">
            <v>41.036066666666663</v>
          </cell>
        </row>
        <row r="38">
          <cell r="H38">
            <v>480</v>
          </cell>
          <cell r="I38">
            <v>45.116493333333338</v>
          </cell>
          <cell r="Q38">
            <v>480</v>
          </cell>
          <cell r="R38">
            <v>50.633320000000005</v>
          </cell>
        </row>
        <row r="39">
          <cell r="H39">
            <v>960</v>
          </cell>
          <cell r="I39">
            <v>45.041613333333331</v>
          </cell>
          <cell r="Q39">
            <v>960</v>
          </cell>
          <cell r="R39">
            <v>31.247213333333331</v>
          </cell>
        </row>
      </sheetData>
      <sheetData sheetId="2">
        <row r="1">
          <cell r="A1" t="str">
            <v>Tabôa</v>
          </cell>
          <cell r="I1" t="str">
            <v>Junco</v>
          </cell>
        </row>
        <row r="3">
          <cell r="G3">
            <v>0</v>
          </cell>
          <cell r="H3">
            <v>107.55778000000001</v>
          </cell>
          <cell r="O3">
            <v>0</v>
          </cell>
          <cell r="P3">
            <v>72.554423999999997</v>
          </cell>
        </row>
        <row r="4">
          <cell r="G4">
            <v>200</v>
          </cell>
          <cell r="H4">
            <v>72.837167999999991</v>
          </cell>
          <cell r="O4">
            <v>200</v>
          </cell>
          <cell r="P4">
            <v>59.038088000000002</v>
          </cell>
        </row>
        <row r="5">
          <cell r="G5">
            <v>400</v>
          </cell>
          <cell r="H5">
            <v>83.888621999999998</v>
          </cell>
          <cell r="O5">
            <v>400</v>
          </cell>
          <cell r="P5">
            <v>66.467821999999984</v>
          </cell>
        </row>
        <row r="6">
          <cell r="G6">
            <v>600</v>
          </cell>
          <cell r="H6">
            <v>79.033953999999994</v>
          </cell>
          <cell r="O6">
            <v>600</v>
          </cell>
          <cell r="P6">
            <v>66.589461999999997</v>
          </cell>
        </row>
        <row r="7">
          <cell r="G7">
            <v>720</v>
          </cell>
          <cell r="H7">
            <v>79.01003</v>
          </cell>
          <cell r="O7">
            <v>720</v>
          </cell>
          <cell r="P7">
            <v>39.16522333333333</v>
          </cell>
        </row>
        <row r="30">
          <cell r="A30" t="str">
            <v>Tabôa</v>
          </cell>
          <cell r="J30" t="str">
            <v>Junco</v>
          </cell>
        </row>
        <row r="32">
          <cell r="H32">
            <v>0</v>
          </cell>
          <cell r="I32">
            <v>46.777746666666665</v>
          </cell>
          <cell r="Q32">
            <v>0</v>
          </cell>
          <cell r="R32">
            <v>46.072213333333337</v>
          </cell>
        </row>
        <row r="33">
          <cell r="H33">
            <v>200</v>
          </cell>
          <cell r="I33">
            <v>53.465249999999997</v>
          </cell>
          <cell r="Q33">
            <v>200</v>
          </cell>
          <cell r="R33">
            <v>52.916560000000004</v>
          </cell>
        </row>
        <row r="34">
          <cell r="H34">
            <v>400</v>
          </cell>
          <cell r="I34">
            <v>45.799986666666669</v>
          </cell>
          <cell r="Q34">
            <v>400</v>
          </cell>
          <cell r="R34">
            <v>60.227773333333332</v>
          </cell>
        </row>
        <row r="35">
          <cell r="H35">
            <v>600</v>
          </cell>
          <cell r="I35">
            <v>50.011040000000001</v>
          </cell>
          <cell r="Q35">
            <v>600</v>
          </cell>
          <cell r="R35">
            <v>45.269360000000006</v>
          </cell>
        </row>
        <row r="36">
          <cell r="H36">
            <v>720</v>
          </cell>
          <cell r="I36">
            <v>48.95473333333333</v>
          </cell>
          <cell r="Q36">
            <v>720</v>
          </cell>
          <cell r="R36">
            <v>70.120311111111107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TURAL"/>
      <sheetName val="RADIAÇÃO"/>
      <sheetName val="SATURAÇÃO"/>
      <sheetName val="Plan1"/>
    </sheetNames>
    <sheetDataSet>
      <sheetData sheetId="0">
        <row r="1">
          <cell r="A1" t="str">
            <v>Tabôa</v>
          </cell>
        </row>
      </sheetData>
      <sheetData sheetId="1">
        <row r="1">
          <cell r="A1" t="str">
            <v>Tabôa</v>
          </cell>
          <cell r="I1" t="str">
            <v>Junco</v>
          </cell>
        </row>
        <row r="3">
          <cell r="G3">
            <v>0</v>
          </cell>
          <cell r="H3">
            <v>107.55778000000001</v>
          </cell>
          <cell r="O3">
            <v>0</v>
          </cell>
          <cell r="P3">
            <v>72.554423999999997</v>
          </cell>
        </row>
        <row r="4">
          <cell r="G4">
            <v>120</v>
          </cell>
          <cell r="H4">
            <v>85.674890000000005</v>
          </cell>
          <cell r="O4">
            <v>120</v>
          </cell>
          <cell r="P4">
            <v>77.738782</v>
          </cell>
        </row>
        <row r="5">
          <cell r="G5">
            <v>240</v>
          </cell>
          <cell r="H5">
            <v>74.437259999999995</v>
          </cell>
          <cell r="O5">
            <v>240</v>
          </cell>
          <cell r="P5">
            <v>78.289540000000002</v>
          </cell>
        </row>
        <row r="6">
          <cell r="G6">
            <v>480</v>
          </cell>
          <cell r="H6">
            <v>68.22483600000001</v>
          </cell>
          <cell r="O6">
            <v>480</v>
          </cell>
          <cell r="P6">
            <v>58.650934000000007</v>
          </cell>
        </row>
        <row r="7">
          <cell r="G7">
            <v>960</v>
          </cell>
          <cell r="H7">
            <v>81.389666000000005</v>
          </cell>
          <cell r="O7">
            <v>960</v>
          </cell>
          <cell r="P7">
            <v>90.852400000000017</v>
          </cell>
        </row>
        <row r="33">
          <cell r="A33" t="str">
            <v>Tabôa</v>
          </cell>
          <cell r="J33" t="str">
            <v>Junco</v>
          </cell>
        </row>
        <row r="35">
          <cell r="H35">
            <v>0</v>
          </cell>
          <cell r="I35">
            <v>46.777746666666665</v>
          </cell>
          <cell r="Q35">
            <v>0</v>
          </cell>
          <cell r="R35">
            <v>46.072213333333337</v>
          </cell>
        </row>
        <row r="36">
          <cell r="H36">
            <v>120</v>
          </cell>
          <cell r="I36">
            <v>42.44441333333333</v>
          </cell>
          <cell r="Q36">
            <v>120</v>
          </cell>
          <cell r="R36">
            <v>48.588839999999998</v>
          </cell>
        </row>
        <row r="37">
          <cell r="H37">
            <v>240</v>
          </cell>
          <cell r="I37">
            <v>40.855599999999995</v>
          </cell>
          <cell r="Q37">
            <v>240</v>
          </cell>
          <cell r="R37">
            <v>41.036066666666663</v>
          </cell>
        </row>
        <row r="38">
          <cell r="H38">
            <v>480</v>
          </cell>
          <cell r="I38">
            <v>45.116493333333338</v>
          </cell>
          <cell r="Q38">
            <v>480</v>
          </cell>
          <cell r="R38">
            <v>50.633320000000005</v>
          </cell>
        </row>
        <row r="39">
          <cell r="H39">
            <v>960</v>
          </cell>
          <cell r="I39">
            <v>45.041613333333331</v>
          </cell>
          <cell r="Q39">
            <v>960</v>
          </cell>
          <cell r="R39">
            <v>31.247213333333331</v>
          </cell>
        </row>
      </sheetData>
      <sheetData sheetId="2">
        <row r="1">
          <cell r="A1" t="str">
            <v>Tabôa</v>
          </cell>
          <cell r="I1" t="str">
            <v>Junco</v>
          </cell>
        </row>
        <row r="3">
          <cell r="G3">
            <v>0</v>
          </cell>
          <cell r="H3">
            <v>107.55778000000001</v>
          </cell>
          <cell r="O3">
            <v>0</v>
          </cell>
          <cell r="P3">
            <v>72.554423999999997</v>
          </cell>
        </row>
        <row r="4">
          <cell r="G4">
            <v>200</v>
          </cell>
          <cell r="H4">
            <v>72.837167999999991</v>
          </cell>
          <cell r="O4">
            <v>200</v>
          </cell>
          <cell r="P4">
            <v>59.038088000000002</v>
          </cell>
        </row>
        <row r="5">
          <cell r="G5">
            <v>400</v>
          </cell>
          <cell r="H5">
            <v>83.888621999999998</v>
          </cell>
          <cell r="O5">
            <v>400</v>
          </cell>
          <cell r="P5">
            <v>66.467821999999984</v>
          </cell>
        </row>
        <row r="6">
          <cell r="G6">
            <v>600</v>
          </cell>
          <cell r="H6">
            <v>79.033953999999994</v>
          </cell>
          <cell r="O6">
            <v>600</v>
          </cell>
          <cell r="P6">
            <v>66.589461999999997</v>
          </cell>
        </row>
        <row r="7">
          <cell r="G7">
            <v>720</v>
          </cell>
          <cell r="H7">
            <v>79.01003</v>
          </cell>
          <cell r="O7">
            <v>720</v>
          </cell>
          <cell r="P7">
            <v>39.16522333333333</v>
          </cell>
        </row>
        <row r="30">
          <cell r="A30" t="str">
            <v>Tabôa</v>
          </cell>
          <cell r="J30" t="str">
            <v>Junco</v>
          </cell>
        </row>
        <row r="32">
          <cell r="H32">
            <v>0</v>
          </cell>
          <cell r="I32">
            <v>46.777746666666665</v>
          </cell>
          <cell r="Q32">
            <v>0</v>
          </cell>
          <cell r="R32">
            <v>46.072213333333337</v>
          </cell>
        </row>
        <row r="33">
          <cell r="H33">
            <v>200</v>
          </cell>
          <cell r="I33">
            <v>53.465249999999997</v>
          </cell>
          <cell r="Q33">
            <v>200</v>
          </cell>
          <cell r="R33">
            <v>52.916560000000004</v>
          </cell>
        </row>
        <row r="34">
          <cell r="H34">
            <v>400</v>
          </cell>
          <cell r="I34">
            <v>45.799986666666669</v>
          </cell>
          <cell r="Q34">
            <v>400</v>
          </cell>
          <cell r="R34">
            <v>60.227773333333332</v>
          </cell>
        </row>
        <row r="35">
          <cell r="H35">
            <v>600</v>
          </cell>
          <cell r="I35">
            <v>50.011040000000001</v>
          </cell>
          <cell r="Q35">
            <v>600</v>
          </cell>
          <cell r="R35">
            <v>45.269360000000006</v>
          </cell>
        </row>
        <row r="36">
          <cell r="H36">
            <v>720</v>
          </cell>
          <cell r="I36">
            <v>48.95473333333333</v>
          </cell>
          <cell r="Q36">
            <v>720</v>
          </cell>
          <cell r="R36">
            <v>70.120311111111107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C26" totalsRowShown="0">
  <autoFilter ref="A1:C26" xr:uid="{00000000-0009-0000-0100-000001000000}"/>
  <tableColumns count="3">
    <tableColumn id="1" xr3:uid="{00000000-0010-0000-0000-000001000000}" name="TRATAMENTO"/>
    <tableColumn id="2" xr3:uid="{00000000-0010-0000-0000-000002000000}" name="TENSÃO NATURAL TABOA" dataDxfId="1"/>
    <tableColumn id="3" xr3:uid="{00000000-0010-0000-0000-000003000000}" name="DEFORMAÇÃO NATURAL  TABOA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tabSelected="1" topLeftCell="H1" zoomScale="134" zoomScaleNormal="85" workbookViewId="0">
      <selection activeCell="K2" sqref="K2"/>
    </sheetView>
  </sheetViews>
  <sheetFormatPr defaultColWidth="8.7109375" defaultRowHeight="15" x14ac:dyDescent="0.25"/>
  <cols>
    <col min="1" max="1" width="11" bestFit="1" customWidth="1"/>
    <col min="2" max="2" width="8" customWidth="1"/>
    <col min="3" max="3" width="10.42578125" customWidth="1"/>
    <col min="4" max="4" width="12.28515625" customWidth="1"/>
    <col min="5" max="5" width="10.42578125" customWidth="1"/>
    <col min="6" max="6" width="12.28515625" customWidth="1"/>
    <col min="7" max="7" width="12.28515625" bestFit="1" customWidth="1"/>
    <col min="8" max="8" width="11.28515625" bestFit="1" customWidth="1"/>
    <col min="9" max="9" width="7" customWidth="1"/>
    <col min="10" max="10" width="8" customWidth="1"/>
    <col min="11" max="11" width="10.42578125" bestFit="1" customWidth="1"/>
    <col min="12" max="12" width="12.42578125" customWidth="1"/>
    <col min="13" max="13" width="10.42578125" bestFit="1" customWidth="1"/>
    <col min="14" max="14" width="12.28515625" customWidth="1"/>
    <col min="17" max="17" width="11" bestFit="1" customWidth="1"/>
    <col min="18" max="18" width="8" customWidth="1"/>
    <col min="19" max="19" width="10.42578125" bestFit="1" customWidth="1"/>
    <col min="20" max="20" width="7" customWidth="1"/>
    <col min="21" max="22" width="12.28515625" bestFit="1" customWidth="1"/>
    <col min="24" max="24" width="12.28515625" bestFit="1" customWidth="1"/>
  </cols>
  <sheetData>
    <row r="1" spans="1:24" x14ac:dyDescent="0.25">
      <c r="A1" s="62" t="s">
        <v>5</v>
      </c>
      <c r="B1" s="62"/>
      <c r="C1" s="62"/>
      <c r="D1" s="62"/>
      <c r="E1" s="62"/>
      <c r="F1" s="62"/>
      <c r="G1" s="62" t="s">
        <v>14</v>
      </c>
      <c r="H1" s="62"/>
      <c r="I1" s="67" t="s">
        <v>12</v>
      </c>
      <c r="J1" s="67"/>
      <c r="K1" s="67"/>
      <c r="L1" s="67"/>
      <c r="M1" s="67"/>
      <c r="N1" s="67"/>
      <c r="O1" s="61" t="s">
        <v>14</v>
      </c>
      <c r="P1" s="61"/>
      <c r="Q1" s="62" t="s">
        <v>13</v>
      </c>
      <c r="R1" s="62"/>
      <c r="S1" s="62"/>
      <c r="T1" s="62"/>
      <c r="U1" s="62"/>
      <c r="V1" s="62"/>
      <c r="W1" s="62" t="s">
        <v>14</v>
      </c>
      <c r="X1" s="62"/>
    </row>
    <row r="2" spans="1:24" x14ac:dyDescent="0.25">
      <c r="A2" s="1" t="s">
        <v>6</v>
      </c>
      <c r="B2" s="1" t="s">
        <v>11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15</v>
      </c>
      <c r="H2" s="1" t="s">
        <v>16</v>
      </c>
      <c r="I2" s="19" t="s">
        <v>6</v>
      </c>
      <c r="J2" s="19" t="s">
        <v>11</v>
      </c>
      <c r="K2" s="19" t="s">
        <v>7</v>
      </c>
      <c r="L2" s="19" t="s">
        <v>8</v>
      </c>
      <c r="M2" s="19" t="s">
        <v>9</v>
      </c>
      <c r="N2" s="19" t="s">
        <v>10</v>
      </c>
      <c r="O2" s="23" t="s">
        <v>15</v>
      </c>
      <c r="P2" s="23" t="s">
        <v>16</v>
      </c>
      <c r="Q2" s="1" t="s">
        <v>6</v>
      </c>
      <c r="R2" s="1" t="s">
        <v>11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15</v>
      </c>
      <c r="X2" s="1" t="s">
        <v>16</v>
      </c>
    </row>
    <row r="3" spans="1:24" x14ac:dyDescent="0.25">
      <c r="A3" s="64">
        <v>0</v>
      </c>
      <c r="B3" s="16" t="s">
        <v>0</v>
      </c>
      <c r="C3" s="15">
        <v>135.95035999999999</v>
      </c>
      <c r="D3" s="63">
        <f>AVERAGE(C3:C7)</f>
        <v>107.55778000000001</v>
      </c>
      <c r="E3" s="64">
        <f>_xlfn.STDEV.S(C3:C7)</f>
        <v>25.252810383083084</v>
      </c>
      <c r="F3" s="64">
        <f>(E3/D3)*100</f>
        <v>23.47836705358095</v>
      </c>
      <c r="G3" s="2">
        <v>0</v>
      </c>
      <c r="H3" s="7">
        <f>MEDIAN(C3:C7)</f>
        <v>95.029380000000003</v>
      </c>
      <c r="I3" s="69">
        <v>0</v>
      </c>
      <c r="J3" s="21" t="s">
        <v>0</v>
      </c>
      <c r="K3" s="20">
        <v>46.832459999999998</v>
      </c>
      <c r="L3" s="68">
        <f>AVERAGE(K3:K7)</f>
        <v>72.554423999999997</v>
      </c>
      <c r="M3" s="69">
        <f>_xlfn.STDEV.S(K3:K7)</f>
        <v>16.862221248587947</v>
      </c>
      <c r="N3" s="69">
        <f>(M3/L3)*100</f>
        <v>23.240789904951829</v>
      </c>
      <c r="O3" s="6">
        <v>0</v>
      </c>
      <c r="P3" s="60">
        <f>MEDIAN(K3:K7)</f>
        <v>80.496539999999996</v>
      </c>
      <c r="Q3" s="64">
        <v>0</v>
      </c>
      <c r="R3" s="16" t="s">
        <v>0</v>
      </c>
      <c r="S3" s="15">
        <v>86.184809999999999</v>
      </c>
      <c r="T3" s="63">
        <f>AVERAGE(S3:S7)</f>
        <v>142.05159599999999</v>
      </c>
      <c r="U3" s="64">
        <f>_xlfn.STDEV.S(S3:S7)</f>
        <v>31.560851306656513</v>
      </c>
      <c r="V3" s="64">
        <f>(U3/T3)*100</f>
        <v>22.217878711237088</v>
      </c>
      <c r="W3" s="2">
        <v>0</v>
      </c>
      <c r="X3" s="7">
        <f>MEDIAN(S3:S7)</f>
        <v>152.32115999999999</v>
      </c>
    </row>
    <row r="4" spans="1:24" x14ac:dyDescent="0.25">
      <c r="A4" s="64"/>
      <c r="B4" s="16" t="s">
        <v>1</v>
      </c>
      <c r="C4" s="15">
        <v>82.204790000000003</v>
      </c>
      <c r="D4" s="63"/>
      <c r="E4" s="64"/>
      <c r="F4" s="64"/>
      <c r="G4" s="3">
        <v>60</v>
      </c>
      <c r="H4" s="7">
        <f>MEDIAN(C8:C12)</f>
        <v>55.90502</v>
      </c>
      <c r="I4" s="69"/>
      <c r="J4" s="21" t="s">
        <v>1</v>
      </c>
      <c r="K4" s="20">
        <v>64.235029999999995</v>
      </c>
      <c r="L4" s="68"/>
      <c r="M4" s="69"/>
      <c r="N4" s="69"/>
      <c r="O4" s="4">
        <v>60</v>
      </c>
      <c r="P4" s="60">
        <f>MEDIAN(K8:K12)</f>
        <v>2.4965899999999999</v>
      </c>
      <c r="Q4" s="64"/>
      <c r="R4" s="16" t="s">
        <v>1</v>
      </c>
      <c r="S4" s="15">
        <v>152.32115999999999</v>
      </c>
      <c r="T4" s="63"/>
      <c r="U4" s="64"/>
      <c r="V4" s="64"/>
      <c r="W4" s="3">
        <v>60</v>
      </c>
      <c r="X4" s="7">
        <f>MEDIAN(S8:S12)</f>
        <v>8.4408899999999996</v>
      </c>
    </row>
    <row r="5" spans="1:24" x14ac:dyDescent="0.25">
      <c r="A5" s="64"/>
      <c r="B5" s="16" t="s">
        <v>2</v>
      </c>
      <c r="C5" s="15">
        <v>91.089860000000002</v>
      </c>
      <c r="D5" s="63"/>
      <c r="E5" s="64"/>
      <c r="F5" s="64"/>
      <c r="G5" s="2">
        <v>90</v>
      </c>
      <c r="H5" s="7">
        <f>MEDIAN(C13:C17)</f>
        <v>52.221609999999998</v>
      </c>
      <c r="I5" s="69"/>
      <c r="J5" s="21" t="s">
        <v>2</v>
      </c>
      <c r="K5" s="20">
        <v>84.411600000000007</v>
      </c>
      <c r="L5" s="68"/>
      <c r="M5" s="69"/>
      <c r="N5" s="69"/>
      <c r="O5" s="6">
        <v>90</v>
      </c>
      <c r="P5" s="60">
        <f>MEDIAN(K13:K17)</f>
        <v>2.4755500000000001</v>
      </c>
      <c r="Q5" s="64"/>
      <c r="R5" s="16" t="s">
        <v>2</v>
      </c>
      <c r="S5" s="15">
        <v>151.09683000000001</v>
      </c>
      <c r="T5" s="63"/>
      <c r="U5" s="64"/>
      <c r="V5" s="64"/>
      <c r="W5" s="2">
        <v>90</v>
      </c>
      <c r="X5" s="7">
        <f>MEDIAN(S13:S17)</f>
        <v>6.044575</v>
      </c>
    </row>
    <row r="6" spans="1:24" x14ac:dyDescent="0.25">
      <c r="A6" s="64"/>
      <c r="B6" s="16" t="s">
        <v>3</v>
      </c>
      <c r="C6" s="15">
        <v>95.029380000000003</v>
      </c>
      <c r="D6" s="63"/>
      <c r="E6" s="64"/>
      <c r="F6" s="64"/>
      <c r="G6" s="3">
        <v>120</v>
      </c>
      <c r="H6" s="7">
        <f>MEDIAN(C18:C22)</f>
        <v>38.933639999999997</v>
      </c>
      <c r="I6" s="69"/>
      <c r="J6" s="21" t="s">
        <v>3</v>
      </c>
      <c r="K6" s="20">
        <v>86.796490000000006</v>
      </c>
      <c r="L6" s="68"/>
      <c r="M6" s="69"/>
      <c r="N6" s="69"/>
      <c r="Q6" s="64"/>
      <c r="R6" s="16" t="s">
        <v>3</v>
      </c>
      <c r="S6" s="15">
        <v>162.32101</v>
      </c>
      <c r="T6" s="63"/>
      <c r="U6" s="64"/>
      <c r="V6" s="64"/>
    </row>
    <row r="7" spans="1:24" x14ac:dyDescent="0.25">
      <c r="A7" s="64"/>
      <c r="B7" s="16" t="s">
        <v>4</v>
      </c>
      <c r="C7" s="15">
        <v>133.51451</v>
      </c>
      <c r="D7" s="63"/>
      <c r="E7" s="64"/>
      <c r="F7" s="64"/>
      <c r="G7" s="2">
        <v>180</v>
      </c>
      <c r="H7" s="7">
        <f>MEDIAN(C23:C27)</f>
        <v>33.972560000000001</v>
      </c>
      <c r="I7" s="69"/>
      <c r="J7" s="21" t="s">
        <v>4</v>
      </c>
      <c r="K7" s="20">
        <v>80.496539999999996</v>
      </c>
      <c r="L7" s="68"/>
      <c r="M7" s="69"/>
      <c r="N7" s="69"/>
      <c r="Q7" s="64"/>
      <c r="R7" s="16" t="s">
        <v>4</v>
      </c>
      <c r="S7" s="15">
        <v>158.33417</v>
      </c>
      <c r="T7" s="63"/>
      <c r="U7" s="64"/>
      <c r="V7" s="64"/>
    </row>
    <row r="8" spans="1:24" x14ac:dyDescent="0.25">
      <c r="A8" s="66">
        <v>60</v>
      </c>
      <c r="B8" s="18" t="s">
        <v>0</v>
      </c>
      <c r="C8" s="17">
        <v>69.626620000000003</v>
      </c>
      <c r="D8" s="65">
        <f>AVERAGE(C8:C12)</f>
        <v>56.702656000000005</v>
      </c>
      <c r="E8" s="66">
        <f>_xlfn.STDEV.S(C8:C12)</f>
        <v>8.9953768998569696</v>
      </c>
      <c r="F8" s="66">
        <f>(E8/D8)*100</f>
        <v>15.864119133779145</v>
      </c>
      <c r="I8" s="71">
        <v>60</v>
      </c>
      <c r="J8" s="23" t="s">
        <v>0</v>
      </c>
      <c r="K8" s="22">
        <v>2.4965899999999999</v>
      </c>
      <c r="L8" s="70">
        <f>AVERAGE(K8:K12)</f>
        <v>2.4457979999999999</v>
      </c>
      <c r="M8" s="71">
        <f>_xlfn.STDEV.S(K8:K12)</f>
        <v>1.21669514596714</v>
      </c>
      <c r="N8" s="71">
        <f>(M8/L8)*100</f>
        <v>49.746346426284596</v>
      </c>
      <c r="Q8" s="66">
        <v>60</v>
      </c>
      <c r="R8" s="18" t="s">
        <v>0</v>
      </c>
      <c r="S8" s="17">
        <v>8.4408899999999996</v>
      </c>
      <c r="T8" s="65">
        <f>AVERAGE(S8:S12)</f>
        <v>7.9183679999999992</v>
      </c>
      <c r="U8" s="66">
        <f>_xlfn.STDEV.S(S8:S12)</f>
        <v>2.1764794321610323</v>
      </c>
      <c r="V8" s="66">
        <f>(U8/T8)*100</f>
        <v>27.486464788716976</v>
      </c>
    </row>
    <row r="9" spans="1:24" x14ac:dyDescent="0.25">
      <c r="A9" s="66"/>
      <c r="B9" s="18" t="s">
        <v>1</v>
      </c>
      <c r="C9" s="17">
        <v>55.90502</v>
      </c>
      <c r="D9" s="65"/>
      <c r="E9" s="66"/>
      <c r="F9" s="66"/>
      <c r="I9" s="71"/>
      <c r="J9" s="23" t="s">
        <v>1</v>
      </c>
      <c r="K9" s="22">
        <v>0.76032</v>
      </c>
      <c r="L9" s="70"/>
      <c r="M9" s="71"/>
      <c r="N9" s="71"/>
      <c r="Q9" s="66"/>
      <c r="R9" s="18" t="s">
        <v>1</v>
      </c>
      <c r="S9" s="17">
        <v>10.26117</v>
      </c>
      <c r="T9" s="65"/>
      <c r="U9" s="66"/>
      <c r="V9" s="66"/>
    </row>
    <row r="10" spans="1:24" x14ac:dyDescent="0.25">
      <c r="A10" s="66"/>
      <c r="B10" s="18" t="s">
        <v>2</v>
      </c>
      <c r="C10" s="17">
        <v>47.919359999999998</v>
      </c>
      <c r="D10" s="65"/>
      <c r="E10" s="66"/>
      <c r="F10" s="66"/>
      <c r="I10" s="71"/>
      <c r="J10" s="23" t="s">
        <v>2</v>
      </c>
      <c r="K10" s="22">
        <v>1.8371</v>
      </c>
      <c r="L10" s="70"/>
      <c r="M10" s="71"/>
      <c r="N10" s="71"/>
      <c r="Q10" s="66"/>
      <c r="R10" s="18" t="s">
        <v>2</v>
      </c>
      <c r="S10" s="17">
        <v>7.4440299999999997</v>
      </c>
      <c r="T10" s="65"/>
      <c r="U10" s="66"/>
      <c r="V10" s="66"/>
    </row>
    <row r="11" spans="1:24" x14ac:dyDescent="0.25">
      <c r="A11" s="66"/>
      <c r="B11" s="18" t="s">
        <v>3</v>
      </c>
      <c r="C11" s="17">
        <v>48.978540000000002</v>
      </c>
      <c r="D11" s="65"/>
      <c r="E11" s="66"/>
      <c r="F11" s="66"/>
      <c r="H11" s="5"/>
      <c r="I11" s="71"/>
      <c r="J11" s="23" t="s">
        <v>3</v>
      </c>
      <c r="K11" s="22">
        <v>3.8765800000000001</v>
      </c>
      <c r="L11" s="70"/>
      <c r="M11" s="71"/>
      <c r="N11" s="71"/>
      <c r="Q11" s="66"/>
      <c r="R11" s="18" t="s">
        <v>3</v>
      </c>
      <c r="S11" s="17">
        <v>8.97044</v>
      </c>
      <c r="T11" s="65"/>
      <c r="U11" s="66"/>
      <c r="V11" s="66"/>
    </row>
    <row r="12" spans="1:24" x14ac:dyDescent="0.25">
      <c r="A12" s="66"/>
      <c r="B12" s="18" t="s">
        <v>4</v>
      </c>
      <c r="C12" s="17">
        <v>61.083739999999999</v>
      </c>
      <c r="D12" s="65"/>
      <c r="E12" s="66"/>
      <c r="F12" s="66"/>
      <c r="I12" s="71"/>
      <c r="J12" s="23" t="s">
        <v>4</v>
      </c>
      <c r="K12" s="22">
        <v>3.2584</v>
      </c>
      <c r="L12" s="70"/>
      <c r="M12" s="71"/>
      <c r="N12" s="71"/>
      <c r="Q12" s="66"/>
      <c r="R12" s="18" t="s">
        <v>4</v>
      </c>
      <c r="S12" s="17">
        <v>4.4753100000000003</v>
      </c>
      <c r="T12" s="65"/>
      <c r="U12" s="66"/>
      <c r="V12" s="66"/>
    </row>
    <row r="13" spans="1:24" x14ac:dyDescent="0.25">
      <c r="A13" s="64">
        <v>90</v>
      </c>
      <c r="B13" s="16" t="s">
        <v>0</v>
      </c>
      <c r="C13" s="15">
        <v>58.520870000000002</v>
      </c>
      <c r="D13" s="63">
        <f>AVERAGE(C13:C17)</f>
        <v>55.58578</v>
      </c>
      <c r="E13" s="64">
        <f>_xlfn.STDEV.S(C13:C17)</f>
        <v>9.0867332784119839</v>
      </c>
      <c r="F13" s="64">
        <f>(E13/D13)*100</f>
        <v>16.347226356114792</v>
      </c>
      <c r="I13" s="69">
        <v>90</v>
      </c>
      <c r="J13" s="21" t="s">
        <v>0</v>
      </c>
      <c r="K13" s="20">
        <v>4.5898599999999998</v>
      </c>
      <c r="L13" s="68">
        <f>AVERAGE(K13:K17)</f>
        <v>2.8240599999999998</v>
      </c>
      <c r="M13" s="69">
        <f>_xlfn.STDEV.S(K13:K17)</f>
        <v>1.6199104611366633</v>
      </c>
      <c r="N13" s="69">
        <f>(M13/L13)*100</f>
        <v>57.361049734660853</v>
      </c>
      <c r="Q13" s="64">
        <v>90</v>
      </c>
      <c r="R13" s="16" t="s">
        <v>0</v>
      </c>
      <c r="S13" s="15">
        <v>5.4680200000000001</v>
      </c>
      <c r="T13" s="63">
        <f>AVERAGE(S13:S17)</f>
        <v>6.044575</v>
      </c>
      <c r="U13" s="64">
        <f>_xlfn.STDEV.S(S13:S17)</f>
        <v>0.81537190045401975</v>
      </c>
      <c r="V13" s="64">
        <f>(U13/T13)*100</f>
        <v>13.489317287882436</v>
      </c>
    </row>
    <row r="14" spans="1:24" x14ac:dyDescent="0.25">
      <c r="A14" s="64"/>
      <c r="B14" s="16" t="s">
        <v>1</v>
      </c>
      <c r="C14" s="15">
        <v>51.019129999999997</v>
      </c>
      <c r="D14" s="63"/>
      <c r="E14" s="64"/>
      <c r="F14" s="64"/>
      <c r="I14" s="69"/>
      <c r="J14" s="21" t="s">
        <v>1</v>
      </c>
      <c r="K14" s="20">
        <v>1.4067700000000001</v>
      </c>
      <c r="L14" s="68"/>
      <c r="M14" s="69"/>
      <c r="N14" s="69"/>
      <c r="Q14" s="64"/>
      <c r="R14" s="16" t="s">
        <v>1</v>
      </c>
      <c r="S14" s="15"/>
      <c r="T14" s="63"/>
      <c r="U14" s="64"/>
      <c r="V14" s="64"/>
    </row>
    <row r="15" spans="1:24" x14ac:dyDescent="0.25">
      <c r="A15" s="64"/>
      <c r="B15" s="16" t="s">
        <v>2</v>
      </c>
      <c r="C15" s="15">
        <v>69.852450000000005</v>
      </c>
      <c r="D15" s="63"/>
      <c r="E15" s="64"/>
      <c r="F15" s="64"/>
      <c r="I15" s="69"/>
      <c r="J15" s="21" t="s">
        <v>2</v>
      </c>
      <c r="K15" s="20">
        <v>2.4755500000000001</v>
      </c>
      <c r="L15" s="68"/>
      <c r="M15" s="69"/>
      <c r="N15" s="69"/>
      <c r="Q15" s="64"/>
      <c r="R15" s="16" t="s">
        <v>2</v>
      </c>
      <c r="S15" s="15">
        <v>6.62113</v>
      </c>
      <c r="T15" s="63"/>
      <c r="U15" s="64"/>
      <c r="V15" s="64"/>
    </row>
    <row r="16" spans="1:24" x14ac:dyDescent="0.25">
      <c r="A16" s="64"/>
      <c r="B16" s="16" t="s">
        <v>3</v>
      </c>
      <c r="C16" s="15">
        <v>52.221609999999998</v>
      </c>
      <c r="D16" s="63"/>
      <c r="E16" s="64"/>
      <c r="F16" s="64"/>
      <c r="I16" s="69"/>
      <c r="J16" s="21" t="s">
        <v>3</v>
      </c>
      <c r="K16" s="20"/>
      <c r="L16" s="68"/>
      <c r="M16" s="69"/>
      <c r="N16" s="69"/>
      <c r="Q16" s="64"/>
      <c r="R16" s="16" t="s">
        <v>3</v>
      </c>
      <c r="S16" s="15"/>
      <c r="T16" s="63"/>
      <c r="U16" s="64"/>
      <c r="V16" s="64"/>
    </row>
    <row r="17" spans="1:22" x14ac:dyDescent="0.25">
      <c r="A17" s="64"/>
      <c r="B17" s="16" t="s">
        <v>4</v>
      </c>
      <c r="C17" s="15">
        <v>46.314839999999997</v>
      </c>
      <c r="D17" s="63"/>
      <c r="E17" s="64"/>
      <c r="F17" s="64"/>
      <c r="I17" s="69"/>
      <c r="J17" s="21" t="s">
        <v>4</v>
      </c>
      <c r="K17" s="20"/>
      <c r="L17" s="68"/>
      <c r="M17" s="69"/>
      <c r="N17" s="69"/>
      <c r="Q17" s="64"/>
      <c r="R17" s="16" t="s">
        <v>4</v>
      </c>
      <c r="S17" s="15"/>
      <c r="T17" s="63"/>
      <c r="U17" s="64"/>
      <c r="V17" s="64"/>
    </row>
    <row r="18" spans="1:22" x14ac:dyDescent="0.25">
      <c r="A18" s="66">
        <v>120</v>
      </c>
      <c r="B18" s="18" t="s">
        <v>0</v>
      </c>
      <c r="C18" s="17">
        <v>38.933639999999997</v>
      </c>
      <c r="D18" s="65">
        <f>AVERAGE(C18:C22)</f>
        <v>40.059902000000001</v>
      </c>
      <c r="E18" s="66">
        <f>_xlfn.STDEV.S(C18:C22)</f>
        <v>9.9660883378219118</v>
      </c>
      <c r="F18" s="66">
        <f>(E18/D18)*100</f>
        <v>24.877964848296212</v>
      </c>
    </row>
    <row r="19" spans="1:22" x14ac:dyDescent="0.25">
      <c r="A19" s="66"/>
      <c r="B19" s="18" t="s">
        <v>1</v>
      </c>
      <c r="C19" s="17">
        <v>53.437130000000003</v>
      </c>
      <c r="D19" s="65"/>
      <c r="E19" s="66"/>
      <c r="F19" s="66"/>
    </row>
    <row r="20" spans="1:22" x14ac:dyDescent="0.25">
      <c r="A20" s="66"/>
      <c r="B20" s="18" t="s">
        <v>2</v>
      </c>
      <c r="C20" s="17">
        <v>37.322960000000002</v>
      </c>
      <c r="D20" s="65"/>
      <c r="E20" s="66"/>
      <c r="F20" s="66"/>
    </row>
    <row r="21" spans="1:22" x14ac:dyDescent="0.25">
      <c r="A21" s="66"/>
      <c r="B21" s="18" t="s">
        <v>3</v>
      </c>
      <c r="C21" s="17">
        <v>44.36721</v>
      </c>
      <c r="D21" s="65"/>
      <c r="E21" s="66"/>
      <c r="F21" s="66"/>
    </row>
    <row r="22" spans="1:22" x14ac:dyDescent="0.25">
      <c r="A22" s="66"/>
      <c r="B22" s="18" t="s">
        <v>4</v>
      </c>
      <c r="C22" s="17">
        <v>26.238569999999999</v>
      </c>
      <c r="D22" s="65"/>
      <c r="E22" s="66"/>
      <c r="F22" s="66"/>
    </row>
    <row r="23" spans="1:22" x14ac:dyDescent="0.25">
      <c r="A23" s="64">
        <v>180</v>
      </c>
      <c r="B23" s="16" t="s">
        <v>0</v>
      </c>
      <c r="C23" s="15">
        <v>33.972560000000001</v>
      </c>
      <c r="D23" s="63">
        <f>AVERAGE(C23:C27)</f>
        <v>31.535188000000005</v>
      </c>
      <c r="E23" s="64">
        <f>_xlfn.STDEV.S(C23:C27)</f>
        <v>10.608295303003201</v>
      </c>
      <c r="F23" s="64">
        <f>(E23/D23)*100</f>
        <v>33.639549898999171</v>
      </c>
    </row>
    <row r="24" spans="1:22" x14ac:dyDescent="0.25">
      <c r="A24" s="64"/>
      <c r="B24" s="16" t="s">
        <v>1</v>
      </c>
      <c r="C24" s="15">
        <v>42.488990000000001</v>
      </c>
      <c r="D24" s="63"/>
      <c r="E24" s="64"/>
      <c r="F24" s="64"/>
    </row>
    <row r="25" spans="1:22" x14ac:dyDescent="0.25">
      <c r="A25" s="64"/>
      <c r="B25" s="16" t="s">
        <v>2</v>
      </c>
      <c r="C25" s="15">
        <v>24.26219</v>
      </c>
      <c r="D25" s="63"/>
      <c r="E25" s="64"/>
      <c r="F25" s="64"/>
    </row>
    <row r="26" spans="1:22" x14ac:dyDescent="0.25">
      <c r="A26" s="64"/>
      <c r="B26" s="16" t="s">
        <v>3</v>
      </c>
      <c r="C26" s="15">
        <v>39.714530000000003</v>
      </c>
      <c r="D26" s="63"/>
      <c r="E26" s="64"/>
      <c r="F26" s="64"/>
    </row>
    <row r="27" spans="1:22" x14ac:dyDescent="0.25">
      <c r="A27" s="64"/>
      <c r="B27" s="16" t="s">
        <v>4</v>
      </c>
      <c r="C27" s="15">
        <v>17.237670000000001</v>
      </c>
      <c r="D27" s="63"/>
      <c r="E27" s="64"/>
      <c r="F27" s="64"/>
    </row>
    <row r="38" spans="1:29" x14ac:dyDescent="0.25">
      <c r="A38" s="62" t="s">
        <v>5</v>
      </c>
      <c r="B38" s="62"/>
      <c r="C38" s="62"/>
      <c r="D38" s="62"/>
      <c r="E38" s="62"/>
      <c r="F38" s="62"/>
      <c r="G38" s="62"/>
      <c r="H38" s="62" t="s">
        <v>14</v>
      </c>
      <c r="I38" s="62"/>
      <c r="K38" s="67" t="s">
        <v>12</v>
      </c>
      <c r="L38" s="67"/>
      <c r="M38" s="67"/>
      <c r="N38" s="67"/>
      <c r="O38" s="67"/>
      <c r="P38" s="67"/>
      <c r="Q38" s="67"/>
      <c r="R38" s="61" t="s">
        <v>14</v>
      </c>
      <c r="S38" s="61"/>
      <c r="U38" s="62" t="s">
        <v>13</v>
      </c>
      <c r="V38" s="62"/>
      <c r="W38" s="62"/>
      <c r="X38" s="62"/>
      <c r="Y38" s="62"/>
      <c r="Z38" s="62"/>
      <c r="AA38" s="62"/>
      <c r="AB38" s="62" t="s">
        <v>14</v>
      </c>
      <c r="AC38" s="62"/>
    </row>
    <row r="39" spans="1:29" x14ac:dyDescent="0.25">
      <c r="A39" s="1" t="s">
        <v>6</v>
      </c>
      <c r="B39" s="1" t="s">
        <v>11</v>
      </c>
      <c r="C39" s="13" t="s">
        <v>24</v>
      </c>
      <c r="D39" s="1" t="s">
        <v>25</v>
      </c>
      <c r="E39" s="1" t="s">
        <v>26</v>
      </c>
      <c r="F39" s="1" t="s">
        <v>9</v>
      </c>
      <c r="G39" s="1" t="s">
        <v>10</v>
      </c>
      <c r="H39" s="1" t="s">
        <v>15</v>
      </c>
      <c r="I39" s="1" t="s">
        <v>183</v>
      </c>
      <c r="K39" s="19" t="s">
        <v>6</v>
      </c>
      <c r="L39" s="19" t="s">
        <v>11</v>
      </c>
      <c r="M39" s="19" t="s">
        <v>27</v>
      </c>
      <c r="N39" s="22" t="s">
        <v>25</v>
      </c>
      <c r="O39" s="19" t="s">
        <v>26</v>
      </c>
      <c r="P39" s="19" t="s">
        <v>9</v>
      </c>
      <c r="Q39" s="19" t="s">
        <v>10</v>
      </c>
      <c r="R39" s="23" t="s">
        <v>15</v>
      </c>
      <c r="S39" s="23" t="s">
        <v>16</v>
      </c>
      <c r="U39" s="1" t="s">
        <v>6</v>
      </c>
      <c r="V39" s="1" t="s">
        <v>11</v>
      </c>
      <c r="W39" s="1" t="s">
        <v>27</v>
      </c>
      <c r="X39" s="1" t="s">
        <v>25</v>
      </c>
      <c r="Y39" s="1" t="s">
        <v>26</v>
      </c>
      <c r="Z39" s="1" t="s">
        <v>9</v>
      </c>
      <c r="AA39" s="1" t="s">
        <v>10</v>
      </c>
      <c r="AB39" s="1" t="s">
        <v>15</v>
      </c>
      <c r="AC39" s="1" t="s">
        <v>16</v>
      </c>
    </row>
    <row r="40" spans="1:29" x14ac:dyDescent="0.25">
      <c r="A40" s="64">
        <v>0</v>
      </c>
      <c r="B40" s="16" t="s">
        <v>0</v>
      </c>
      <c r="C40" s="15">
        <v>4.59375</v>
      </c>
      <c r="D40" s="35">
        <f>(C40/150)*100</f>
        <v>3.0625</v>
      </c>
      <c r="E40" s="63">
        <v>10.0238</v>
      </c>
      <c r="F40" s="64">
        <f>STDEV(D40:D44)</f>
        <v>1.3113610091419461</v>
      </c>
      <c r="G40" s="64">
        <f>(F40/E40)*100</f>
        <v>13.082473803766497</v>
      </c>
      <c r="H40" s="2">
        <v>0</v>
      </c>
      <c r="I40" s="59">
        <f>MEDIAN(D40:D44)</f>
        <v>4.5749733333333324</v>
      </c>
      <c r="K40" s="69">
        <v>0</v>
      </c>
      <c r="L40" s="21" t="s">
        <v>0</v>
      </c>
      <c r="M40" s="20">
        <v>10.645799999999999</v>
      </c>
      <c r="N40" s="20">
        <f>(M40/150)*100</f>
        <v>7.0971999999999991</v>
      </c>
      <c r="O40" s="68">
        <v>9.872617</v>
      </c>
      <c r="P40" s="69">
        <f>STDEV(N40:N44)</f>
        <v>1.4191913021576745</v>
      </c>
      <c r="Q40" s="69">
        <f>(P40/O40)*100</f>
        <v>14.375026420630665</v>
      </c>
      <c r="R40" s="6">
        <v>0</v>
      </c>
      <c r="S40" s="59">
        <f>MEDIAN(N40:N44)</f>
        <v>4.0180800000000003</v>
      </c>
      <c r="U40" s="64">
        <v>0</v>
      </c>
      <c r="V40" s="16" t="s">
        <v>0</v>
      </c>
      <c r="W40" s="15">
        <v>9.6125000000000007</v>
      </c>
      <c r="X40" s="15">
        <f>(W40/150)*100</f>
        <v>6.4083333333333341</v>
      </c>
      <c r="Y40" s="63">
        <v>10.315462999999999</v>
      </c>
      <c r="Z40" s="64">
        <f>_xlfn.STDEV.S(W40:W44)</f>
        <v>1.6280597327893118</v>
      </c>
      <c r="AA40" s="64">
        <f>(Z40/Y40)*100</f>
        <v>15.782711186006019</v>
      </c>
      <c r="AB40" s="2">
        <v>0</v>
      </c>
      <c r="AC40" s="59">
        <f>MEDIAN(X40:X44)</f>
        <v>4.8194266666666667</v>
      </c>
    </row>
    <row r="41" spans="1:29" x14ac:dyDescent="0.25">
      <c r="A41" s="64"/>
      <c r="B41" s="16" t="s">
        <v>1</v>
      </c>
      <c r="C41" s="15">
        <v>5.84795</v>
      </c>
      <c r="D41" s="43">
        <f t="shared" ref="D41:D64" si="0">(C41/150)*100</f>
        <v>3.8986333333333332</v>
      </c>
      <c r="E41" s="63"/>
      <c r="F41" s="64"/>
      <c r="G41" s="64"/>
      <c r="H41" s="3">
        <v>60</v>
      </c>
      <c r="I41" s="59">
        <f>MEDIAN(D45:D49)</f>
        <v>4.2759399999999994</v>
      </c>
      <c r="K41" s="69"/>
      <c r="L41" s="21" t="s">
        <v>1</v>
      </c>
      <c r="M41" s="20">
        <v>5.9811899999999998</v>
      </c>
      <c r="N41" s="44">
        <f t="shared" ref="N41:N54" si="1">(M41/150)*100</f>
        <v>3.9874599999999996</v>
      </c>
      <c r="O41" s="68"/>
      <c r="P41" s="69"/>
      <c r="Q41" s="69"/>
      <c r="R41" s="4">
        <v>60</v>
      </c>
      <c r="S41" s="59">
        <f>MEDIAN(N45:N49)</f>
        <v>1.5055333333333336</v>
      </c>
      <c r="U41" s="64"/>
      <c r="V41" s="16" t="s">
        <v>1</v>
      </c>
      <c r="W41" s="15">
        <v>7.2291400000000001</v>
      </c>
      <c r="X41" s="43">
        <f t="shared" ref="X41:X54" si="2">(W41/150)*100</f>
        <v>4.8194266666666667</v>
      </c>
      <c r="Y41" s="63"/>
      <c r="Z41" s="64"/>
      <c r="AA41" s="64"/>
      <c r="AB41" s="3">
        <v>60</v>
      </c>
      <c r="AC41" s="59">
        <f>MEDIAN(X45:X49)</f>
        <v>1.6708733333333332</v>
      </c>
    </row>
    <row r="42" spans="1:29" x14ac:dyDescent="0.25">
      <c r="A42" s="64"/>
      <c r="B42" s="16" t="s">
        <v>2</v>
      </c>
      <c r="C42" s="15">
        <v>8.1145800000000001</v>
      </c>
      <c r="D42" s="43">
        <f t="shared" si="0"/>
        <v>5.4097200000000001</v>
      </c>
      <c r="E42" s="63"/>
      <c r="F42" s="64"/>
      <c r="G42" s="64"/>
      <c r="H42" s="2">
        <v>90</v>
      </c>
      <c r="I42" s="59">
        <f>MEDIAN(D50:D54)</f>
        <v>3.2222200000000001</v>
      </c>
      <c r="K42" s="69"/>
      <c r="L42" s="21" t="s">
        <v>2</v>
      </c>
      <c r="M42" s="20">
        <v>6.5354599999999996</v>
      </c>
      <c r="N42" s="44">
        <f t="shared" si="1"/>
        <v>4.3569733333333334</v>
      </c>
      <c r="O42" s="68"/>
      <c r="P42" s="69"/>
      <c r="Q42" s="69"/>
      <c r="R42" s="6">
        <v>90</v>
      </c>
      <c r="S42" s="59">
        <f>MEDIAN(N50:N54)</f>
        <v>2.1481266666666663</v>
      </c>
      <c r="U42" s="64"/>
      <c r="V42" s="16" t="s">
        <v>2</v>
      </c>
      <c r="W42" s="15">
        <v>5.0395700000000003</v>
      </c>
      <c r="X42" s="43">
        <f t="shared" si="2"/>
        <v>3.3597133333333336</v>
      </c>
      <c r="Y42" s="63"/>
      <c r="Z42" s="64"/>
      <c r="AA42" s="64"/>
      <c r="AB42" s="2">
        <v>90</v>
      </c>
      <c r="AC42" s="59">
        <f>MEDIAN(X50:X54)</f>
        <v>1.6514066666666667</v>
      </c>
    </row>
    <row r="43" spans="1:29" x14ac:dyDescent="0.25">
      <c r="A43" s="64"/>
      <c r="B43" s="16" t="s">
        <v>3</v>
      </c>
      <c r="C43" s="15">
        <v>6.8624599999999996</v>
      </c>
      <c r="D43" s="43">
        <f t="shared" si="0"/>
        <v>4.5749733333333324</v>
      </c>
      <c r="E43" s="63"/>
      <c r="F43" s="64"/>
      <c r="G43" s="64"/>
      <c r="H43" s="3">
        <v>120</v>
      </c>
      <c r="I43" s="59">
        <f>MEDIAN(D55:D59)</f>
        <v>4.4611133333333335</v>
      </c>
      <c r="K43" s="69"/>
      <c r="L43" s="21" t="s">
        <v>3</v>
      </c>
      <c r="M43" s="20">
        <v>5.3645899999999997</v>
      </c>
      <c r="N43" s="44">
        <f t="shared" si="1"/>
        <v>3.5763933333333329</v>
      </c>
      <c r="O43" s="68"/>
      <c r="P43" s="69"/>
      <c r="Q43" s="69"/>
      <c r="U43" s="64"/>
      <c r="V43" s="16" t="s">
        <v>3</v>
      </c>
      <c r="W43" s="15">
        <v>6.8874700000000004</v>
      </c>
      <c r="X43" s="43">
        <f t="shared" si="2"/>
        <v>4.5916466666666667</v>
      </c>
      <c r="Y43" s="63"/>
      <c r="Z43" s="64"/>
      <c r="AA43" s="64"/>
    </row>
    <row r="44" spans="1:29" x14ac:dyDescent="0.25">
      <c r="A44" s="64"/>
      <c r="B44" s="16" t="s">
        <v>4</v>
      </c>
      <c r="C44" s="15">
        <v>9.6645699999999994</v>
      </c>
      <c r="D44" s="43">
        <f t="shared" si="0"/>
        <v>6.4430466666666657</v>
      </c>
      <c r="E44" s="63"/>
      <c r="F44" s="64"/>
      <c r="G44" s="64"/>
      <c r="H44" s="2">
        <v>180</v>
      </c>
      <c r="I44" s="59">
        <f>MEDIAN(D60:D64)</f>
        <v>5.0041466666666663</v>
      </c>
      <c r="K44" s="69"/>
      <c r="L44" s="21" t="s">
        <v>4</v>
      </c>
      <c r="M44" s="20">
        <v>6.02712</v>
      </c>
      <c r="N44" s="44">
        <f t="shared" si="1"/>
        <v>4.0180800000000003</v>
      </c>
      <c r="O44" s="68"/>
      <c r="P44" s="69"/>
      <c r="Q44" s="69"/>
      <c r="U44" s="64"/>
      <c r="V44" s="16" t="s">
        <v>4</v>
      </c>
      <c r="W44" s="15">
        <v>7.3354400000000002</v>
      </c>
      <c r="X44" s="43">
        <f t="shared" si="2"/>
        <v>4.8902933333333332</v>
      </c>
      <c r="Y44" s="63"/>
      <c r="Z44" s="64"/>
      <c r="AA44" s="64"/>
    </row>
    <row r="45" spans="1:29" x14ac:dyDescent="0.25">
      <c r="A45" s="66">
        <v>60</v>
      </c>
      <c r="B45" s="18" t="s">
        <v>0</v>
      </c>
      <c r="C45" s="17">
        <v>5.7895500000000002</v>
      </c>
      <c r="D45" s="43">
        <f t="shared" si="0"/>
        <v>3.8597000000000001</v>
      </c>
      <c r="E45" s="65">
        <v>11.24741</v>
      </c>
      <c r="F45" s="64">
        <f t="shared" ref="F45" si="3">STDEV(D45:D49)</f>
        <v>1.962148543189892</v>
      </c>
      <c r="G45" s="66">
        <f>(F45/E45)*100</f>
        <v>17.445336688089895</v>
      </c>
      <c r="K45" s="71">
        <v>60</v>
      </c>
      <c r="L45" s="23" t="s">
        <v>0</v>
      </c>
      <c r="M45" s="22">
        <v>1.0458700000000001</v>
      </c>
      <c r="N45" s="44">
        <f t="shared" si="1"/>
        <v>0.69724666666666668</v>
      </c>
      <c r="O45" s="70">
        <v>3.209546</v>
      </c>
      <c r="P45" s="69">
        <f t="shared" ref="P45" si="4">STDEV(N45:N49)</f>
        <v>0.61069422302090759</v>
      </c>
      <c r="Q45" s="71">
        <f>(P45/O45)*100</f>
        <v>19.027433257566884</v>
      </c>
      <c r="U45" s="66">
        <v>60</v>
      </c>
      <c r="V45" s="18" t="s">
        <v>0</v>
      </c>
      <c r="W45" s="17">
        <v>1.8124400000000001</v>
      </c>
      <c r="X45" s="43">
        <f t="shared" si="2"/>
        <v>1.2082933333333334</v>
      </c>
      <c r="Y45" s="65">
        <v>3.9208400000000001</v>
      </c>
      <c r="Z45" s="66">
        <f>_xlfn.STDEV.S(W45:W49)</f>
        <v>0.99826130225006793</v>
      </c>
      <c r="AA45" s="66">
        <f>(Z45/Y45)*100</f>
        <v>25.460393748535211</v>
      </c>
    </row>
    <row r="46" spans="1:29" x14ac:dyDescent="0.25">
      <c r="A46" s="66"/>
      <c r="B46" s="18" t="s">
        <v>1</v>
      </c>
      <c r="C46" s="17">
        <v>10.902060000000001</v>
      </c>
      <c r="D46" s="43">
        <f t="shared" si="0"/>
        <v>7.2680400000000009</v>
      </c>
      <c r="E46" s="65"/>
      <c r="F46" s="64"/>
      <c r="G46" s="66"/>
      <c r="K46" s="71"/>
      <c r="L46" s="23" t="s">
        <v>1</v>
      </c>
      <c r="M46" s="22">
        <v>1.7042299999999999</v>
      </c>
      <c r="N46" s="44">
        <f t="shared" si="1"/>
        <v>1.1361533333333333</v>
      </c>
      <c r="O46" s="70"/>
      <c r="P46" s="69"/>
      <c r="Q46" s="71"/>
      <c r="U46" s="66"/>
      <c r="V46" s="18" t="s">
        <v>1</v>
      </c>
      <c r="W46" s="17">
        <v>2.5437699999999999</v>
      </c>
      <c r="X46" s="43">
        <f t="shared" si="2"/>
        <v>1.6958466666666665</v>
      </c>
      <c r="Y46" s="65"/>
      <c r="Z46" s="66"/>
      <c r="AA46" s="66"/>
    </row>
    <row r="47" spans="1:29" x14ac:dyDescent="0.25">
      <c r="A47" s="66"/>
      <c r="B47" s="18" t="s">
        <v>2</v>
      </c>
      <c r="C47" s="17">
        <v>11.2021</v>
      </c>
      <c r="D47" s="43">
        <f t="shared" si="0"/>
        <v>7.4680666666666662</v>
      </c>
      <c r="E47" s="65"/>
      <c r="F47" s="64"/>
      <c r="G47" s="66"/>
      <c r="H47" s="10" t="s">
        <v>18</v>
      </c>
      <c r="I47" s="10" t="s">
        <v>18</v>
      </c>
      <c r="K47" s="71"/>
      <c r="L47" s="23" t="s">
        <v>2</v>
      </c>
      <c r="M47" s="22">
        <v>2.8666499999999999</v>
      </c>
      <c r="N47" s="44">
        <f t="shared" si="1"/>
        <v>1.9111</v>
      </c>
      <c r="O47" s="70"/>
      <c r="P47" s="69"/>
      <c r="Q47" s="71"/>
      <c r="U47" s="66"/>
      <c r="V47" s="18" t="s">
        <v>2</v>
      </c>
      <c r="W47" s="17">
        <v>4.45</v>
      </c>
      <c r="X47" s="43">
        <f t="shared" si="2"/>
        <v>2.9666666666666668</v>
      </c>
      <c r="Y47" s="65"/>
      <c r="Z47" s="66"/>
      <c r="AA47" s="66"/>
    </row>
    <row r="48" spans="1:29" x14ac:dyDescent="0.25">
      <c r="A48" s="66"/>
      <c r="B48" s="18" t="s">
        <v>3</v>
      </c>
      <c r="C48" s="17">
        <v>5.0583200000000001</v>
      </c>
      <c r="D48" s="43">
        <f t="shared" si="0"/>
        <v>3.3722133333333333</v>
      </c>
      <c r="E48" s="65"/>
      <c r="F48" s="64"/>
      <c r="G48" s="66"/>
      <c r="H48" s="11" t="s">
        <v>19</v>
      </c>
      <c r="I48" s="12">
        <v>0</v>
      </c>
      <c r="K48" s="71"/>
      <c r="L48" s="23" t="s">
        <v>3</v>
      </c>
      <c r="M48" s="22">
        <v>3.3583599999999998</v>
      </c>
      <c r="N48" s="44">
        <f t="shared" si="1"/>
        <v>2.2389066666666664</v>
      </c>
      <c r="O48" s="70"/>
      <c r="P48" s="69"/>
      <c r="Q48" s="71"/>
      <c r="U48" s="66"/>
      <c r="V48" s="18" t="s">
        <v>3</v>
      </c>
      <c r="W48" s="17">
        <v>2.50631</v>
      </c>
      <c r="X48" s="43">
        <f t="shared" si="2"/>
        <v>1.6708733333333332</v>
      </c>
      <c r="Y48" s="65"/>
      <c r="Z48" s="66"/>
      <c r="AA48" s="66"/>
    </row>
    <row r="49" spans="1:27" x14ac:dyDescent="0.25">
      <c r="A49" s="66"/>
      <c r="B49" s="18" t="s">
        <v>4</v>
      </c>
      <c r="C49" s="17">
        <v>6.4139099999999996</v>
      </c>
      <c r="D49" s="43">
        <f t="shared" si="0"/>
        <v>4.2759399999999994</v>
      </c>
      <c r="E49" s="65"/>
      <c r="F49" s="64"/>
      <c r="G49" s="66"/>
      <c r="H49" s="11" t="s">
        <v>20</v>
      </c>
      <c r="I49" s="12">
        <v>60</v>
      </c>
      <c r="K49" s="71"/>
      <c r="L49" s="23" t="s">
        <v>4</v>
      </c>
      <c r="M49" s="22">
        <v>2.2583000000000002</v>
      </c>
      <c r="N49" s="44">
        <f t="shared" si="1"/>
        <v>1.5055333333333336</v>
      </c>
      <c r="O49" s="70"/>
      <c r="P49" s="69"/>
      <c r="Q49" s="71"/>
      <c r="U49" s="66"/>
      <c r="V49" s="18" t="s">
        <v>4</v>
      </c>
      <c r="W49" s="17">
        <v>2.4104199999999998</v>
      </c>
      <c r="X49" s="43">
        <f t="shared" si="2"/>
        <v>1.6069466666666663</v>
      </c>
      <c r="Y49" s="65"/>
      <c r="Z49" s="66"/>
      <c r="AA49" s="66"/>
    </row>
    <row r="50" spans="1:27" x14ac:dyDescent="0.25">
      <c r="A50" s="64">
        <v>90</v>
      </c>
      <c r="B50" s="16" t="s">
        <v>0</v>
      </c>
      <c r="C50" s="15">
        <v>8.5478900000000007</v>
      </c>
      <c r="D50" s="43">
        <f t="shared" si="0"/>
        <v>5.6985933333333332</v>
      </c>
      <c r="E50" s="63">
        <v>7.4505800000000004</v>
      </c>
      <c r="F50" s="64">
        <f t="shared" ref="F50" si="5">STDEV(D50:D54)</f>
        <v>1.596977277126316</v>
      </c>
      <c r="G50" s="64">
        <f>(F50/E50)*100</f>
        <v>21.43426789761758</v>
      </c>
      <c r="H50" s="11" t="s">
        <v>21</v>
      </c>
      <c r="I50" s="12">
        <v>90</v>
      </c>
      <c r="K50" s="69">
        <v>90</v>
      </c>
      <c r="L50" s="21" t="s">
        <v>0</v>
      </c>
      <c r="M50" s="20">
        <v>3.7458100000000001</v>
      </c>
      <c r="N50" s="44">
        <f t="shared" si="1"/>
        <v>2.4972066666666666</v>
      </c>
      <c r="O50" s="68">
        <v>2.7618770000000001</v>
      </c>
      <c r="P50" s="69">
        <f t="shared" ref="P50" si="6">STDEV(N50:N54)</f>
        <v>1.019520437900967</v>
      </c>
      <c r="Q50" s="69">
        <f>(P50/O50)*100</f>
        <v>36.914042077216578</v>
      </c>
      <c r="U50" s="64">
        <v>90</v>
      </c>
      <c r="V50" s="16" t="s">
        <v>0</v>
      </c>
      <c r="W50" s="15">
        <v>3.2499899999999999</v>
      </c>
      <c r="X50" s="43">
        <f t="shared" si="2"/>
        <v>2.1666600000000003</v>
      </c>
      <c r="Y50" s="63">
        <v>2.0453929999999998</v>
      </c>
      <c r="Z50" s="64">
        <f>_xlfn.STDEV.S(W50:W54)</f>
        <v>0.38643999999999784</v>
      </c>
      <c r="AA50" s="64">
        <f>(Z50/Y50)*100</f>
        <v>18.893190697337765</v>
      </c>
    </row>
    <row r="51" spans="1:27" x14ac:dyDescent="0.25">
      <c r="A51" s="64"/>
      <c r="B51" s="16" t="s">
        <v>1</v>
      </c>
      <c r="C51" s="15">
        <v>6.5916899999999998</v>
      </c>
      <c r="D51" s="43">
        <f t="shared" si="0"/>
        <v>4.3944600000000005</v>
      </c>
      <c r="E51" s="63"/>
      <c r="F51" s="64"/>
      <c r="G51" s="64"/>
      <c r="H51" s="11" t="s">
        <v>22</v>
      </c>
      <c r="I51" s="12">
        <v>120</v>
      </c>
      <c r="K51" s="69"/>
      <c r="L51" s="21" t="s">
        <v>1</v>
      </c>
      <c r="M51" s="20">
        <v>3.5249700000000002</v>
      </c>
      <c r="N51" s="44">
        <f t="shared" si="1"/>
        <v>2.34998</v>
      </c>
      <c r="O51" s="68"/>
      <c r="P51" s="69"/>
      <c r="Q51" s="69"/>
      <c r="U51" s="64"/>
      <c r="V51" s="16" t="s">
        <v>1</v>
      </c>
      <c r="W51" s="15">
        <f>AVERAGE(W50,W52)</f>
        <v>2.86355</v>
      </c>
      <c r="X51" s="43">
        <f>(W51/150)*100</f>
        <v>1.9090333333333334</v>
      </c>
      <c r="Y51" s="63"/>
      <c r="Z51" s="64"/>
      <c r="AA51" s="64"/>
    </row>
    <row r="52" spans="1:27" x14ac:dyDescent="0.25">
      <c r="A52" s="64"/>
      <c r="B52" s="16" t="s">
        <v>2</v>
      </c>
      <c r="C52" s="15">
        <v>4.8333300000000001</v>
      </c>
      <c r="D52" s="43">
        <f t="shared" si="0"/>
        <v>3.2222200000000001</v>
      </c>
      <c r="E52" s="63"/>
      <c r="F52" s="64"/>
      <c r="G52" s="64"/>
      <c r="H52" s="11" t="s">
        <v>23</v>
      </c>
      <c r="I52" s="12">
        <v>180</v>
      </c>
      <c r="K52" s="69"/>
      <c r="L52" s="21" t="s">
        <v>2</v>
      </c>
      <c r="M52" s="20">
        <v>2.3957899999999999</v>
      </c>
      <c r="N52" s="44">
        <f t="shared" si="1"/>
        <v>1.5971933333333335</v>
      </c>
      <c r="O52" s="68"/>
      <c r="P52" s="69"/>
      <c r="Q52" s="69"/>
      <c r="U52" s="64"/>
      <c r="V52" s="16" t="s">
        <v>2</v>
      </c>
      <c r="W52" s="15">
        <v>2.4771100000000001</v>
      </c>
      <c r="X52" s="43">
        <f t="shared" si="2"/>
        <v>1.6514066666666667</v>
      </c>
      <c r="Y52" s="63"/>
      <c r="Z52" s="64"/>
      <c r="AA52" s="64"/>
    </row>
    <row r="53" spans="1:27" x14ac:dyDescent="0.25">
      <c r="A53" s="64"/>
      <c r="B53" s="16" t="s">
        <v>3</v>
      </c>
      <c r="C53" s="15">
        <v>3.5249799999999998</v>
      </c>
      <c r="D53" s="43">
        <f t="shared" si="0"/>
        <v>2.3499866666666662</v>
      </c>
      <c r="E53" s="63"/>
      <c r="F53" s="64"/>
      <c r="G53" s="64"/>
      <c r="K53" s="69"/>
      <c r="L53" s="21" t="s">
        <v>3</v>
      </c>
      <c r="M53" s="20">
        <f>AVERAGE(M50:M52)</f>
        <v>3.2221899999999999</v>
      </c>
      <c r="N53" s="44">
        <f t="shared" si="1"/>
        <v>2.1481266666666663</v>
      </c>
      <c r="O53" s="68"/>
      <c r="P53" s="69"/>
      <c r="Q53" s="69"/>
      <c r="U53" s="64"/>
      <c r="V53" s="16" t="s">
        <v>3</v>
      </c>
      <c r="W53" s="15"/>
      <c r="X53" s="43">
        <f t="shared" si="2"/>
        <v>0</v>
      </c>
      <c r="Y53" s="63"/>
      <c r="Z53" s="64"/>
      <c r="AA53" s="64"/>
    </row>
    <row r="54" spans="1:27" x14ac:dyDescent="0.25">
      <c r="A54" s="64"/>
      <c r="B54" s="16" t="s">
        <v>4</v>
      </c>
      <c r="C54" s="15">
        <v>2.5791400000000002</v>
      </c>
      <c r="D54" s="43">
        <f t="shared" si="0"/>
        <v>1.7194266666666669</v>
      </c>
      <c r="E54" s="63"/>
      <c r="F54" s="64"/>
      <c r="G54" s="64"/>
      <c r="K54" s="69"/>
      <c r="L54" s="21" t="s">
        <v>4</v>
      </c>
      <c r="M54" s="20"/>
      <c r="N54" s="44">
        <f t="shared" si="1"/>
        <v>0</v>
      </c>
      <c r="O54" s="68"/>
      <c r="P54" s="69"/>
      <c r="Q54" s="69"/>
      <c r="U54" s="64"/>
      <c r="V54" s="16" t="s">
        <v>4</v>
      </c>
      <c r="W54" s="15"/>
      <c r="X54" s="43">
        <f t="shared" si="2"/>
        <v>0</v>
      </c>
      <c r="Y54" s="63"/>
      <c r="Z54" s="64"/>
      <c r="AA54" s="64"/>
    </row>
    <row r="55" spans="1:27" x14ac:dyDescent="0.25">
      <c r="A55" s="66">
        <v>120</v>
      </c>
      <c r="B55" s="18" t="s">
        <v>0</v>
      </c>
      <c r="C55" s="17">
        <v>9.69163</v>
      </c>
      <c r="D55" s="43">
        <f t="shared" si="0"/>
        <v>6.4610866666666666</v>
      </c>
      <c r="E55" s="65">
        <v>11.61557</v>
      </c>
      <c r="F55" s="64">
        <f t="shared" ref="F55" si="7">STDEV(D55:D59)</f>
        <v>2.881956657594511</v>
      </c>
      <c r="G55" s="66">
        <f>(F55/E55)*100</f>
        <v>24.811151390715317</v>
      </c>
    </row>
    <row r="56" spans="1:27" x14ac:dyDescent="0.25">
      <c r="A56" s="66"/>
      <c r="B56" s="18" t="s">
        <v>1</v>
      </c>
      <c r="C56" s="17">
        <v>6.6916700000000002</v>
      </c>
      <c r="D56" s="43">
        <f t="shared" si="0"/>
        <v>4.4611133333333335</v>
      </c>
      <c r="E56" s="65"/>
      <c r="F56" s="64"/>
      <c r="G56" s="66"/>
    </row>
    <row r="57" spans="1:27" x14ac:dyDescent="0.25">
      <c r="A57" s="66"/>
      <c r="B57" s="18" t="s">
        <v>2</v>
      </c>
      <c r="C57" s="17">
        <v>5.6816599999999999</v>
      </c>
      <c r="D57" s="43">
        <f t="shared" si="0"/>
        <v>3.787773333333333</v>
      </c>
      <c r="E57" s="65"/>
      <c r="F57" s="64"/>
      <c r="G57" s="66"/>
    </row>
    <row r="58" spans="1:27" x14ac:dyDescent="0.25">
      <c r="A58" s="66"/>
      <c r="B58" s="18" t="s">
        <v>3</v>
      </c>
      <c r="C58" s="17">
        <v>3.7478799999999999</v>
      </c>
      <c r="D58" s="43">
        <f t="shared" si="0"/>
        <v>2.4985866666666667</v>
      </c>
      <c r="E58" s="65"/>
      <c r="F58" s="64"/>
      <c r="G58" s="66"/>
    </row>
    <row r="59" spans="1:27" x14ac:dyDescent="0.25">
      <c r="A59" s="66"/>
      <c r="B59" s="18" t="s">
        <v>4</v>
      </c>
      <c r="C59" s="17">
        <v>14.84165</v>
      </c>
      <c r="D59" s="43">
        <f t="shared" si="0"/>
        <v>9.8944333333333336</v>
      </c>
      <c r="E59" s="65"/>
      <c r="F59" s="64"/>
      <c r="G59" s="66"/>
    </row>
    <row r="60" spans="1:27" x14ac:dyDescent="0.25">
      <c r="A60" s="64">
        <v>180</v>
      </c>
      <c r="B60" s="16" t="s">
        <v>0</v>
      </c>
      <c r="C60" s="15">
        <v>9.8520599999999998</v>
      </c>
      <c r="D60" s="43">
        <f t="shared" si="0"/>
        <v>6.5680399999999999</v>
      </c>
      <c r="E60" s="63">
        <v>10.335699999999999</v>
      </c>
      <c r="F60" s="64">
        <f t="shared" ref="F60" si="8">STDEV(D60:D64)</f>
        <v>1.7414006992010111</v>
      </c>
      <c r="G60" s="64">
        <f>(F60/E60)*100</f>
        <v>16.848406002505985</v>
      </c>
    </row>
    <row r="61" spans="1:27" x14ac:dyDescent="0.25">
      <c r="A61" s="64"/>
      <c r="B61" s="16" t="s">
        <v>1</v>
      </c>
      <c r="C61" s="15">
        <v>9.4541699999999995</v>
      </c>
      <c r="D61" s="43">
        <f t="shared" si="0"/>
        <v>6.3027799999999994</v>
      </c>
      <c r="E61" s="63"/>
      <c r="F61" s="64"/>
      <c r="G61" s="64"/>
    </row>
    <row r="62" spans="1:27" x14ac:dyDescent="0.25">
      <c r="A62" s="64"/>
      <c r="B62" s="16" t="s">
        <v>2</v>
      </c>
      <c r="C62" s="15">
        <v>3.58541</v>
      </c>
      <c r="D62" s="43">
        <f t="shared" si="0"/>
        <v>2.390273333333333</v>
      </c>
      <c r="E62" s="63"/>
      <c r="F62" s="64"/>
      <c r="G62" s="64"/>
    </row>
    <row r="63" spans="1:27" x14ac:dyDescent="0.25">
      <c r="A63" s="64"/>
      <c r="B63" s="16" t="s">
        <v>3</v>
      </c>
      <c r="C63" s="15">
        <v>7.5062199999999999</v>
      </c>
      <c r="D63" s="43">
        <f t="shared" si="0"/>
        <v>5.0041466666666663</v>
      </c>
      <c r="E63" s="63"/>
      <c r="F63" s="64"/>
      <c r="G63" s="64"/>
    </row>
    <row r="64" spans="1:27" x14ac:dyDescent="0.25">
      <c r="A64" s="64"/>
      <c r="B64" s="16" t="s">
        <v>4</v>
      </c>
      <c r="C64" s="15">
        <v>5.7770900000000003</v>
      </c>
      <c r="D64" s="43">
        <f t="shared" si="0"/>
        <v>3.8513933333333332</v>
      </c>
      <c r="E64" s="63"/>
      <c r="F64" s="64"/>
      <c r="G64" s="64"/>
    </row>
  </sheetData>
  <mergeCells count="100">
    <mergeCell ref="A38:G38"/>
    <mergeCell ref="U38:AA38"/>
    <mergeCell ref="K38:Q38"/>
    <mergeCell ref="H38:I38"/>
    <mergeCell ref="A40:A44"/>
    <mergeCell ref="E40:E44"/>
    <mergeCell ref="F40:F44"/>
    <mergeCell ref="G40:G44"/>
    <mergeCell ref="U50:U54"/>
    <mergeCell ref="Y50:Y54"/>
    <mergeCell ref="Z50:Z54"/>
    <mergeCell ref="AA50:AA54"/>
    <mergeCell ref="AA40:AA44"/>
    <mergeCell ref="Z40:Z44"/>
    <mergeCell ref="Y40:Y44"/>
    <mergeCell ref="U40:U44"/>
    <mergeCell ref="AB38:AC38"/>
    <mergeCell ref="K45:K49"/>
    <mergeCell ref="O45:O49"/>
    <mergeCell ref="P45:P49"/>
    <mergeCell ref="Q45:Q49"/>
    <mergeCell ref="U45:U49"/>
    <mergeCell ref="Y45:Y49"/>
    <mergeCell ref="Z45:Z49"/>
    <mergeCell ref="AA45:AA49"/>
    <mergeCell ref="K50:K54"/>
    <mergeCell ref="O50:O54"/>
    <mergeCell ref="P50:P54"/>
    <mergeCell ref="Q50:Q54"/>
    <mergeCell ref="R38:S38"/>
    <mergeCell ref="K40:K44"/>
    <mergeCell ref="O40:O44"/>
    <mergeCell ref="P40:P44"/>
    <mergeCell ref="Q40:Q44"/>
    <mergeCell ref="A55:A59"/>
    <mergeCell ref="E55:E59"/>
    <mergeCell ref="F55:F59"/>
    <mergeCell ref="G55:G59"/>
    <mergeCell ref="A60:A64"/>
    <mergeCell ref="E60:E64"/>
    <mergeCell ref="F60:F64"/>
    <mergeCell ref="G60:G64"/>
    <mergeCell ref="A45:A49"/>
    <mergeCell ref="E45:E49"/>
    <mergeCell ref="F45:F49"/>
    <mergeCell ref="G45:G49"/>
    <mergeCell ref="A50:A54"/>
    <mergeCell ref="E50:E54"/>
    <mergeCell ref="F50:F54"/>
    <mergeCell ref="G50:G54"/>
    <mergeCell ref="A18:A22"/>
    <mergeCell ref="A23:A27"/>
    <mergeCell ref="I3:I7"/>
    <mergeCell ref="I8:I12"/>
    <mergeCell ref="I13:I17"/>
    <mergeCell ref="F8:F12"/>
    <mergeCell ref="F13:F17"/>
    <mergeCell ref="A3:A7"/>
    <mergeCell ref="A8:A12"/>
    <mergeCell ref="A13:A17"/>
    <mergeCell ref="D18:D22"/>
    <mergeCell ref="D23:D27"/>
    <mergeCell ref="E8:E12"/>
    <mergeCell ref="E13:E17"/>
    <mergeCell ref="E18:E22"/>
    <mergeCell ref="E23:E27"/>
    <mergeCell ref="D8:D12"/>
    <mergeCell ref="D13:D17"/>
    <mergeCell ref="L8:L12"/>
    <mergeCell ref="M8:M12"/>
    <mergeCell ref="N8:N12"/>
    <mergeCell ref="L13:L17"/>
    <mergeCell ref="M13:M17"/>
    <mergeCell ref="N13:N17"/>
    <mergeCell ref="A1:F1"/>
    <mergeCell ref="I1:N1"/>
    <mergeCell ref="L3:L7"/>
    <mergeCell ref="M3:M7"/>
    <mergeCell ref="N3:N7"/>
    <mergeCell ref="D3:D7"/>
    <mergeCell ref="E3:E7"/>
    <mergeCell ref="F3:F7"/>
    <mergeCell ref="G1:H1"/>
    <mergeCell ref="T13:T17"/>
    <mergeCell ref="U13:U17"/>
    <mergeCell ref="V13:V17"/>
    <mergeCell ref="F18:F22"/>
    <mergeCell ref="F23:F27"/>
    <mergeCell ref="Q13:Q17"/>
    <mergeCell ref="T8:T12"/>
    <mergeCell ref="U8:U12"/>
    <mergeCell ref="V8:V12"/>
    <mergeCell ref="Q3:Q7"/>
    <mergeCell ref="Q8:Q12"/>
    <mergeCell ref="O1:P1"/>
    <mergeCell ref="W1:X1"/>
    <mergeCell ref="Q1:V1"/>
    <mergeCell ref="T3:T7"/>
    <mergeCell ref="U3:U7"/>
    <mergeCell ref="V3:V7"/>
  </mergeCells>
  <pageMargins left="0.511811024" right="0.511811024" top="0.78740157499999996" bottom="0.78740157499999996" header="0.31496062000000002" footer="0.31496062000000002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9"/>
  <sheetViews>
    <sheetView topLeftCell="A29" zoomScale="117" workbookViewId="0">
      <selection activeCell="A34" sqref="A34"/>
    </sheetView>
  </sheetViews>
  <sheetFormatPr defaultColWidth="8.7109375" defaultRowHeight="15" x14ac:dyDescent="0.25"/>
  <cols>
    <col min="3" max="3" width="12" customWidth="1"/>
    <col min="4" max="4" width="11.7109375" bestFit="1" customWidth="1"/>
    <col min="11" max="11" width="11.42578125" customWidth="1"/>
    <col min="13" max="13" width="11.7109375" bestFit="1" customWidth="1"/>
    <col min="16" max="16" width="9.42578125" bestFit="1" customWidth="1"/>
  </cols>
  <sheetData>
    <row r="1" spans="1:16" x14ac:dyDescent="0.25">
      <c r="A1" s="62" t="s">
        <v>5</v>
      </c>
      <c r="B1" s="62"/>
      <c r="C1" s="62"/>
      <c r="D1" s="62"/>
      <c r="E1" s="62"/>
      <c r="F1" s="62"/>
      <c r="G1" s="62" t="s">
        <v>14</v>
      </c>
      <c r="H1" s="62"/>
      <c r="I1" s="67" t="s">
        <v>12</v>
      </c>
      <c r="J1" s="67"/>
      <c r="K1" s="67"/>
      <c r="L1" s="67"/>
      <c r="M1" s="67"/>
      <c r="N1" s="67"/>
      <c r="O1" s="61" t="s">
        <v>14</v>
      </c>
      <c r="P1" s="61"/>
    </row>
    <row r="2" spans="1:16" x14ac:dyDescent="0.25">
      <c r="A2" s="1" t="s">
        <v>17</v>
      </c>
      <c r="B2" s="1" t="s">
        <v>11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15</v>
      </c>
      <c r="H2" s="1" t="s">
        <v>16</v>
      </c>
      <c r="I2" s="19" t="s">
        <v>17</v>
      </c>
      <c r="J2" s="19" t="s">
        <v>11</v>
      </c>
      <c r="K2" s="19" t="s">
        <v>7</v>
      </c>
      <c r="L2" s="19" t="s">
        <v>8</v>
      </c>
      <c r="M2" s="19" t="s">
        <v>9</v>
      </c>
      <c r="N2" s="19" t="s">
        <v>10</v>
      </c>
      <c r="O2" s="23" t="s">
        <v>15</v>
      </c>
      <c r="P2" s="23" t="s">
        <v>16</v>
      </c>
    </row>
    <row r="3" spans="1:16" x14ac:dyDescent="0.25">
      <c r="A3" s="64">
        <v>0</v>
      </c>
      <c r="B3" s="16" t="s">
        <v>0</v>
      </c>
      <c r="C3" s="15">
        <v>135.95035999999999</v>
      </c>
      <c r="D3" s="63">
        <f>AVERAGE(C3:C7)</f>
        <v>107.55778000000001</v>
      </c>
      <c r="E3" s="64">
        <f>_xlfn.STDEV.S(C3:C7)</f>
        <v>25.252810383083084</v>
      </c>
      <c r="F3" s="64">
        <f>(E3/D3)*100</f>
        <v>23.47836705358095</v>
      </c>
      <c r="G3" s="2">
        <v>0</v>
      </c>
      <c r="H3" s="7">
        <f>MEDIAN(C3:C7)</f>
        <v>95.029380000000003</v>
      </c>
      <c r="I3" s="69">
        <v>0</v>
      </c>
      <c r="J3" s="21" t="s">
        <v>0</v>
      </c>
      <c r="K3" s="20">
        <v>46.832459999999998</v>
      </c>
      <c r="L3" s="68">
        <f>AVERAGE(K3:K7)</f>
        <v>72.554423999999997</v>
      </c>
      <c r="M3" s="69">
        <f>_xlfn.STDEV.S(K3:K7)</f>
        <v>16.862221248587947</v>
      </c>
      <c r="N3" s="69">
        <f>(M3/L3)*100</f>
        <v>23.240789904951829</v>
      </c>
      <c r="O3" s="6">
        <v>0</v>
      </c>
      <c r="P3" s="8">
        <f>L3</f>
        <v>72.554423999999997</v>
      </c>
    </row>
    <row r="4" spans="1:16" x14ac:dyDescent="0.25">
      <c r="A4" s="64"/>
      <c r="B4" s="16" t="s">
        <v>1</v>
      </c>
      <c r="C4" s="15">
        <v>82.204790000000003</v>
      </c>
      <c r="D4" s="63"/>
      <c r="E4" s="64"/>
      <c r="F4" s="64"/>
      <c r="G4" s="3">
        <v>120</v>
      </c>
      <c r="H4" s="7">
        <f>MEDIAN(C8:C12)</f>
        <v>92.668940000000006</v>
      </c>
      <c r="I4" s="69"/>
      <c r="J4" s="21" t="s">
        <v>1</v>
      </c>
      <c r="K4" s="20">
        <v>64.235029999999995</v>
      </c>
      <c r="L4" s="68"/>
      <c r="M4" s="69"/>
      <c r="N4" s="69"/>
      <c r="O4" s="4">
        <v>120</v>
      </c>
      <c r="P4" s="9">
        <f>L8</f>
        <v>77.738782</v>
      </c>
    </row>
    <row r="5" spans="1:16" x14ac:dyDescent="0.25">
      <c r="A5" s="64"/>
      <c r="B5" s="16" t="s">
        <v>2</v>
      </c>
      <c r="C5" s="15">
        <v>91.089860000000002</v>
      </c>
      <c r="D5" s="63"/>
      <c r="E5" s="64"/>
      <c r="F5" s="64"/>
      <c r="G5" s="2">
        <v>240</v>
      </c>
      <c r="H5" s="7">
        <f>MEDIAN(C13:C17)</f>
        <v>81.787909999999997</v>
      </c>
      <c r="I5" s="69"/>
      <c r="J5" s="21" t="s">
        <v>2</v>
      </c>
      <c r="K5" s="20">
        <v>84.411600000000007</v>
      </c>
      <c r="L5" s="68"/>
      <c r="M5" s="69"/>
      <c r="N5" s="69"/>
      <c r="O5" s="6">
        <v>240</v>
      </c>
      <c r="P5" s="8">
        <f>L13</f>
        <v>78.289540000000002</v>
      </c>
    </row>
    <row r="6" spans="1:16" x14ac:dyDescent="0.25">
      <c r="A6" s="64"/>
      <c r="B6" s="16" t="s">
        <v>3</v>
      </c>
      <c r="C6" s="15">
        <v>95.029380000000003</v>
      </c>
      <c r="D6" s="63"/>
      <c r="E6" s="64"/>
      <c r="F6" s="64"/>
      <c r="G6" s="3">
        <v>480</v>
      </c>
      <c r="H6" s="7">
        <f>MEDIAN(C18:C22)</f>
        <v>64.731189999999998</v>
      </c>
      <c r="I6" s="69"/>
      <c r="J6" s="21" t="s">
        <v>3</v>
      </c>
      <c r="K6" s="20">
        <v>86.796490000000006</v>
      </c>
      <c r="L6" s="68"/>
      <c r="M6" s="69"/>
      <c r="N6" s="69"/>
      <c r="O6" s="4">
        <v>480</v>
      </c>
      <c r="P6" s="9">
        <f>L18</f>
        <v>58.650934000000007</v>
      </c>
    </row>
    <row r="7" spans="1:16" x14ac:dyDescent="0.25">
      <c r="A7" s="64"/>
      <c r="B7" s="16" t="s">
        <v>4</v>
      </c>
      <c r="C7" s="15">
        <v>133.51451</v>
      </c>
      <c r="D7" s="63"/>
      <c r="E7" s="64"/>
      <c r="F7" s="64"/>
      <c r="G7" s="2">
        <v>960</v>
      </c>
      <c r="H7" s="7">
        <f>MEDIAN(C23:C27)</f>
        <v>81.662670000000006</v>
      </c>
      <c r="I7" s="69"/>
      <c r="J7" s="21" t="s">
        <v>4</v>
      </c>
      <c r="K7" s="20">
        <v>80.496539999999996</v>
      </c>
      <c r="L7" s="68"/>
      <c r="M7" s="69"/>
      <c r="N7" s="69"/>
      <c r="O7" s="6">
        <v>960</v>
      </c>
      <c r="P7" s="8">
        <f>L23</f>
        <v>90.852400000000017</v>
      </c>
    </row>
    <row r="8" spans="1:16" x14ac:dyDescent="0.25">
      <c r="A8" s="72">
        <v>120</v>
      </c>
      <c r="B8" s="18" t="s">
        <v>0</v>
      </c>
      <c r="C8" s="17">
        <v>50.94885</v>
      </c>
      <c r="D8" s="65">
        <f>AVERAGE(C8:C12)</f>
        <v>85.674890000000005</v>
      </c>
      <c r="E8" s="66">
        <f>_xlfn.STDEV.S(C8:C12)</f>
        <v>20.522288221339952</v>
      </c>
      <c r="F8" s="66">
        <f>(E8/D8)*100</f>
        <v>23.953679101706406</v>
      </c>
      <c r="I8" s="71">
        <v>120</v>
      </c>
      <c r="J8" s="23" t="s">
        <v>0</v>
      </c>
      <c r="K8" s="22">
        <v>44.891480000000001</v>
      </c>
      <c r="L8" s="70">
        <f>AVERAGE(K8:K12)</f>
        <v>77.738782</v>
      </c>
      <c r="M8" s="71">
        <f>_xlfn.STDEV.S(K8:K12)</f>
        <v>20.458940307419891</v>
      </c>
      <c r="N8" s="71">
        <f>(M8/L8)*100</f>
        <v>26.317546765036649</v>
      </c>
    </row>
    <row r="9" spans="1:16" x14ac:dyDescent="0.25">
      <c r="A9" s="72"/>
      <c r="B9" s="18" t="s">
        <v>1</v>
      </c>
      <c r="C9" s="17">
        <v>84.838859999999997</v>
      </c>
      <c r="D9" s="65"/>
      <c r="E9" s="66"/>
      <c r="F9" s="66"/>
      <c r="I9" s="71"/>
      <c r="J9" s="23" t="s">
        <v>1</v>
      </c>
      <c r="K9" s="22">
        <v>76.065629999999999</v>
      </c>
      <c r="L9" s="70"/>
      <c r="M9" s="71"/>
      <c r="N9" s="71"/>
    </row>
    <row r="10" spans="1:16" x14ac:dyDescent="0.25">
      <c r="A10" s="72"/>
      <c r="B10" s="18" t="s">
        <v>2</v>
      </c>
      <c r="C10" s="17">
        <v>103.20527</v>
      </c>
      <c r="D10" s="65"/>
      <c r="E10" s="66"/>
      <c r="F10" s="66"/>
      <c r="I10" s="71"/>
      <c r="J10" s="23" t="s">
        <v>2</v>
      </c>
      <c r="K10" s="22">
        <v>77.835809999999995</v>
      </c>
      <c r="L10" s="70"/>
      <c r="M10" s="71"/>
      <c r="N10" s="71"/>
    </row>
    <row r="11" spans="1:16" x14ac:dyDescent="0.25">
      <c r="A11" s="72"/>
      <c r="B11" s="18" t="s">
        <v>3</v>
      </c>
      <c r="C11" s="17">
        <v>96.712530000000001</v>
      </c>
      <c r="D11" s="65"/>
      <c r="E11" s="66"/>
      <c r="F11" s="66"/>
      <c r="I11" s="71"/>
      <c r="J11" s="23" t="s">
        <v>3</v>
      </c>
      <c r="K11" s="22">
        <v>94.822580000000002</v>
      </c>
      <c r="L11" s="70"/>
      <c r="M11" s="71"/>
      <c r="N11" s="71"/>
    </row>
    <row r="12" spans="1:16" x14ac:dyDescent="0.25">
      <c r="A12" s="72"/>
      <c r="B12" s="18" t="s">
        <v>4</v>
      </c>
      <c r="C12" s="17">
        <v>92.668940000000006</v>
      </c>
      <c r="D12" s="65"/>
      <c r="E12" s="66"/>
      <c r="F12" s="66"/>
      <c r="I12" s="71"/>
      <c r="J12" s="23" t="s">
        <v>4</v>
      </c>
      <c r="K12" s="22">
        <v>95.078410000000005</v>
      </c>
      <c r="L12" s="70"/>
      <c r="M12" s="71"/>
      <c r="N12" s="71"/>
    </row>
    <row r="13" spans="1:16" x14ac:dyDescent="0.25">
      <c r="A13" s="64">
        <v>240</v>
      </c>
      <c r="B13" s="16" t="s">
        <v>0</v>
      </c>
      <c r="C13" s="15">
        <v>91.547219999999996</v>
      </c>
      <c r="D13" s="63">
        <f>AVERAGE(C13:C17)</f>
        <v>74.437259999999995</v>
      </c>
      <c r="E13" s="64">
        <f>_xlfn.STDEV.S(C13:C17)</f>
        <v>22.011119620892767</v>
      </c>
      <c r="F13" s="64">
        <f>(E13/D13)*100</f>
        <v>29.570029338657505</v>
      </c>
      <c r="I13" s="69">
        <v>240</v>
      </c>
      <c r="J13" s="21" t="s">
        <v>0</v>
      </c>
      <c r="K13" s="20">
        <v>90.775899999999993</v>
      </c>
      <c r="L13" s="68">
        <f>AVERAGE(K13:K17)</f>
        <v>78.289540000000002</v>
      </c>
      <c r="M13" s="69">
        <f>_xlfn.STDEV.S(K13:K17)</f>
        <v>28.051472619580053</v>
      </c>
      <c r="N13" s="69">
        <f>(M13/L13)*100</f>
        <v>35.830422071173309</v>
      </c>
    </row>
    <row r="14" spans="1:16" x14ac:dyDescent="0.25">
      <c r="A14" s="64"/>
      <c r="B14" s="16" t="s">
        <v>1</v>
      </c>
      <c r="C14" s="15">
        <v>88.202539999999999</v>
      </c>
      <c r="D14" s="63"/>
      <c r="E14" s="64"/>
      <c r="F14" s="64"/>
      <c r="I14" s="69"/>
      <c r="J14" s="21" t="s">
        <v>1</v>
      </c>
      <c r="K14" s="20">
        <v>58.299550000000004</v>
      </c>
      <c r="L14" s="68"/>
      <c r="M14" s="69"/>
      <c r="N14" s="69"/>
    </row>
    <row r="15" spans="1:16" x14ac:dyDescent="0.25">
      <c r="A15" s="64"/>
      <c r="B15" s="16" t="s">
        <v>2</v>
      </c>
      <c r="C15" s="15">
        <v>73.642099999999999</v>
      </c>
      <c r="D15" s="63"/>
      <c r="E15" s="64"/>
      <c r="F15" s="64"/>
      <c r="I15" s="69"/>
      <c r="J15" s="21" t="s">
        <v>2</v>
      </c>
      <c r="K15" s="20">
        <v>113.74934</v>
      </c>
      <c r="L15" s="68"/>
      <c r="M15" s="69"/>
      <c r="N15" s="69"/>
    </row>
    <row r="16" spans="1:16" x14ac:dyDescent="0.25">
      <c r="A16" s="64"/>
      <c r="B16" s="16" t="s">
        <v>3</v>
      </c>
      <c r="C16" s="15">
        <v>81.787909999999997</v>
      </c>
      <c r="D16" s="63"/>
      <c r="E16" s="64"/>
      <c r="F16" s="64"/>
      <c r="I16" s="69"/>
      <c r="J16" s="21" t="s">
        <v>3</v>
      </c>
      <c r="K16" s="20">
        <v>86.035409999999999</v>
      </c>
      <c r="L16" s="68"/>
      <c r="M16" s="69"/>
      <c r="N16" s="69"/>
    </row>
    <row r="17" spans="1:14" x14ac:dyDescent="0.25">
      <c r="A17" s="64"/>
      <c r="B17" s="16" t="s">
        <v>4</v>
      </c>
      <c r="C17" s="15">
        <v>37.006529999999998</v>
      </c>
      <c r="D17" s="63"/>
      <c r="E17" s="64"/>
      <c r="F17" s="64"/>
      <c r="I17" s="69"/>
      <c r="J17" s="21" t="s">
        <v>4</v>
      </c>
      <c r="K17" s="20">
        <v>42.587499999999999</v>
      </c>
      <c r="L17" s="68"/>
      <c r="M17" s="69"/>
      <c r="N17" s="69"/>
    </row>
    <row r="18" spans="1:14" x14ac:dyDescent="0.25">
      <c r="A18" s="66">
        <v>480</v>
      </c>
      <c r="B18" s="18" t="s">
        <v>0</v>
      </c>
      <c r="C18" s="17">
        <v>57.505980000000001</v>
      </c>
      <c r="D18" s="65">
        <f>AVERAGE(C18:C22)</f>
        <v>68.22483600000001</v>
      </c>
      <c r="E18" s="66">
        <f>_xlfn.STDEV.S(C18:C22)</f>
        <v>15.919297515656236</v>
      </c>
      <c r="F18" s="66">
        <f>(E18/D18)*100</f>
        <v>23.333581213234773</v>
      </c>
      <c r="I18" s="71">
        <v>480</v>
      </c>
      <c r="J18" s="23" t="s">
        <v>0</v>
      </c>
      <c r="K18" s="22">
        <v>51.665390000000002</v>
      </c>
      <c r="L18" s="70">
        <f>AVERAGE(K18:K22)</f>
        <v>58.650934000000007</v>
      </c>
      <c r="M18" s="71">
        <f>_xlfn.STDEV.S(K18:K22)</f>
        <v>20.459320351300263</v>
      </c>
      <c r="N18" s="71">
        <f>(M18/L18)*100</f>
        <v>34.883196150465842</v>
      </c>
    </row>
    <row r="19" spans="1:14" x14ac:dyDescent="0.25">
      <c r="A19" s="66"/>
      <c r="B19" s="18" t="s">
        <v>1</v>
      </c>
      <c r="C19" s="17">
        <v>80.821470000000005</v>
      </c>
      <c r="D19" s="65"/>
      <c r="E19" s="66"/>
      <c r="F19" s="66"/>
      <c r="I19" s="71"/>
      <c r="J19" s="23" t="s">
        <v>1</v>
      </c>
      <c r="K19" s="22">
        <v>57.101680000000002</v>
      </c>
      <c r="L19" s="70"/>
      <c r="M19" s="71"/>
      <c r="N19" s="71"/>
    </row>
    <row r="20" spans="1:14" x14ac:dyDescent="0.25">
      <c r="A20" s="66"/>
      <c r="B20" s="18" t="s">
        <v>2</v>
      </c>
      <c r="C20" s="17">
        <v>64.731189999999998</v>
      </c>
      <c r="D20" s="65"/>
      <c r="E20" s="66"/>
      <c r="F20" s="66"/>
      <c r="I20" s="71"/>
      <c r="J20" s="23" t="s">
        <v>2</v>
      </c>
      <c r="K20" s="22">
        <v>80.956100000000006</v>
      </c>
      <c r="L20" s="70"/>
      <c r="M20" s="71"/>
      <c r="N20" s="71"/>
    </row>
    <row r="21" spans="1:14" x14ac:dyDescent="0.25">
      <c r="A21" s="66"/>
      <c r="B21" s="18" t="s">
        <v>3</v>
      </c>
      <c r="C21" s="17">
        <v>88.093410000000006</v>
      </c>
      <c r="D21" s="65"/>
      <c r="E21" s="66"/>
      <c r="F21" s="66"/>
      <c r="I21" s="71"/>
      <c r="J21" s="23" t="s">
        <v>3</v>
      </c>
      <c r="K21" s="22">
        <v>29.063269999999999</v>
      </c>
      <c r="L21" s="70"/>
      <c r="M21" s="71"/>
      <c r="N21" s="71"/>
    </row>
    <row r="22" spans="1:14" x14ac:dyDescent="0.25">
      <c r="A22" s="66"/>
      <c r="B22" s="18" t="s">
        <v>4</v>
      </c>
      <c r="C22" s="17">
        <v>49.97213</v>
      </c>
      <c r="D22" s="65"/>
      <c r="E22" s="66"/>
      <c r="F22" s="66"/>
      <c r="I22" s="71"/>
      <c r="J22" s="23" t="s">
        <v>4</v>
      </c>
      <c r="K22" s="22">
        <v>74.468230000000005</v>
      </c>
      <c r="L22" s="70"/>
      <c r="M22" s="71"/>
      <c r="N22" s="71"/>
    </row>
    <row r="23" spans="1:14" x14ac:dyDescent="0.25">
      <c r="A23" s="64">
        <v>960</v>
      </c>
      <c r="B23" s="16" t="s">
        <v>0</v>
      </c>
      <c r="C23" s="15">
        <v>84.031989999999993</v>
      </c>
      <c r="D23" s="63">
        <f>AVERAGE(C23:C27)</f>
        <v>81.389666000000005</v>
      </c>
      <c r="E23" s="64">
        <f>_xlfn.STDEV.S(C23:C27)</f>
        <v>11.635615517248281</v>
      </c>
      <c r="F23" s="64">
        <f>(E23/D23)*100</f>
        <v>14.296182905147051</v>
      </c>
      <c r="I23" s="69">
        <v>960</v>
      </c>
      <c r="J23" s="21" t="s">
        <v>0</v>
      </c>
      <c r="K23" s="20">
        <v>83.742859999999993</v>
      </c>
      <c r="L23" s="68">
        <f>AVERAGE(K23:K27)</f>
        <v>90.852400000000017</v>
      </c>
      <c r="M23" s="69">
        <f>_xlfn.STDEV.S(K23:K27)</f>
        <v>12.467747972342428</v>
      </c>
      <c r="N23" s="69">
        <f>(M23/L23)*100</f>
        <v>13.723080482565598</v>
      </c>
    </row>
    <row r="24" spans="1:14" x14ac:dyDescent="0.25">
      <c r="A24" s="64"/>
      <c r="B24" s="16" t="s">
        <v>1</v>
      </c>
      <c r="C24" s="15">
        <v>76.178219999999996</v>
      </c>
      <c r="D24" s="63"/>
      <c r="E24" s="64"/>
      <c r="F24" s="64"/>
      <c r="I24" s="69"/>
      <c r="J24" s="21" t="s">
        <v>1</v>
      </c>
      <c r="K24" s="20">
        <v>86.818659999999994</v>
      </c>
      <c r="L24" s="68"/>
      <c r="M24" s="69"/>
      <c r="N24" s="69"/>
    </row>
    <row r="25" spans="1:14" x14ac:dyDescent="0.25">
      <c r="A25" s="64"/>
      <c r="B25" s="16" t="s">
        <v>2</v>
      </c>
      <c r="C25" s="15">
        <v>81.662670000000006</v>
      </c>
      <c r="D25" s="63"/>
      <c r="E25" s="64"/>
      <c r="F25" s="64"/>
      <c r="I25" s="69"/>
      <c r="J25" s="21" t="s">
        <v>2</v>
      </c>
      <c r="K25" s="20">
        <v>86.485470000000007</v>
      </c>
      <c r="L25" s="68"/>
      <c r="M25" s="69"/>
      <c r="N25" s="69"/>
    </row>
    <row r="26" spans="1:14" x14ac:dyDescent="0.25">
      <c r="A26" s="64"/>
      <c r="B26" s="16" t="s">
        <v>3</v>
      </c>
      <c r="C26" s="15">
        <v>98.423230000000004</v>
      </c>
      <c r="D26" s="63"/>
      <c r="E26" s="64"/>
      <c r="F26" s="64"/>
      <c r="I26" s="69"/>
      <c r="J26" s="21" t="s">
        <v>3</v>
      </c>
      <c r="K26" s="20">
        <v>113.02293</v>
      </c>
      <c r="L26" s="68"/>
      <c r="M26" s="69"/>
      <c r="N26" s="69"/>
    </row>
    <row r="27" spans="1:14" x14ac:dyDescent="0.25">
      <c r="A27" s="64"/>
      <c r="B27" s="16" t="s">
        <v>4</v>
      </c>
      <c r="C27" s="15">
        <v>66.65222</v>
      </c>
      <c r="D27" s="63"/>
      <c r="E27" s="64"/>
      <c r="F27" s="64"/>
      <c r="I27" s="69"/>
      <c r="J27" s="21" t="s">
        <v>4</v>
      </c>
      <c r="K27" s="20">
        <v>84.192080000000004</v>
      </c>
      <c r="L27" s="68"/>
      <c r="M27" s="69"/>
      <c r="N27" s="69"/>
    </row>
    <row r="33" spans="1:18" x14ac:dyDescent="0.25">
      <c r="A33" s="62" t="s">
        <v>5</v>
      </c>
      <c r="B33" s="62"/>
      <c r="C33" s="62"/>
      <c r="D33" s="62"/>
      <c r="E33" s="62"/>
      <c r="F33" s="62"/>
      <c r="G33" s="62"/>
      <c r="H33" s="62" t="s">
        <v>14</v>
      </c>
      <c r="I33" s="62"/>
      <c r="J33" s="67" t="s">
        <v>12</v>
      </c>
      <c r="K33" s="67"/>
      <c r="L33" s="67"/>
      <c r="M33" s="67"/>
      <c r="N33" s="67"/>
      <c r="O33" s="67"/>
      <c r="P33" s="67"/>
      <c r="Q33" s="61" t="s">
        <v>14</v>
      </c>
      <c r="R33" s="61"/>
    </row>
    <row r="34" spans="1:18" x14ac:dyDescent="0.25">
      <c r="A34" s="1" t="s">
        <v>17</v>
      </c>
      <c r="B34" s="1" t="s">
        <v>11</v>
      </c>
      <c r="C34" s="1" t="s">
        <v>27</v>
      </c>
      <c r="D34" s="1" t="s">
        <v>25</v>
      </c>
      <c r="E34" s="1" t="s">
        <v>26</v>
      </c>
      <c r="F34" s="1" t="s">
        <v>9</v>
      </c>
      <c r="G34" s="1" t="s">
        <v>10</v>
      </c>
      <c r="H34" s="1" t="s">
        <v>15</v>
      </c>
      <c r="I34" s="1" t="s">
        <v>16</v>
      </c>
      <c r="J34" s="19" t="s">
        <v>17</v>
      </c>
      <c r="K34" s="19" t="s">
        <v>11</v>
      </c>
      <c r="L34" s="19" t="s">
        <v>27</v>
      </c>
      <c r="M34" s="19" t="s">
        <v>25</v>
      </c>
      <c r="N34" s="19" t="s">
        <v>26</v>
      </c>
      <c r="O34" s="19" t="s">
        <v>9</v>
      </c>
      <c r="P34" s="19" t="s">
        <v>10</v>
      </c>
      <c r="Q34" s="23" t="s">
        <v>15</v>
      </c>
      <c r="R34" s="23" t="s">
        <v>16</v>
      </c>
    </row>
    <row r="35" spans="1:18" x14ac:dyDescent="0.25">
      <c r="A35" s="64">
        <v>0</v>
      </c>
      <c r="B35" s="16" t="s">
        <v>0</v>
      </c>
      <c r="C35" s="15">
        <v>4.59375</v>
      </c>
      <c r="D35" s="15">
        <f>(C35/150)*100</f>
        <v>3.0625</v>
      </c>
      <c r="E35" s="63">
        <f>AVERAGE(D35:D39)</f>
        <v>4.6777746666666662</v>
      </c>
      <c r="F35" s="64">
        <f>STDEV(D35:D39)</f>
        <v>1.3113610091419461</v>
      </c>
      <c r="G35" s="64">
        <f>(F35/E35)*100</f>
        <v>28.033864445984708</v>
      </c>
      <c r="H35" s="2">
        <v>0</v>
      </c>
      <c r="I35" s="7">
        <f>MEDIAN(D35:D39)</f>
        <v>4.5749733333333324</v>
      </c>
      <c r="J35" s="69">
        <v>0</v>
      </c>
      <c r="K35" s="21" t="s">
        <v>0</v>
      </c>
      <c r="L35" s="20">
        <v>10.645799999999999</v>
      </c>
      <c r="M35" s="20">
        <f>(L35/15)*100</f>
        <v>70.972000000000008</v>
      </c>
      <c r="N35" s="68">
        <f>AVERAGE(M35:M39)</f>
        <v>46.072213333333337</v>
      </c>
      <c r="O35" s="69">
        <f>STDEV(M35:M39)</f>
        <v>14.19191302157674</v>
      </c>
      <c r="P35" s="69">
        <f>(O35/N35)*100</f>
        <v>30.803627598478894</v>
      </c>
      <c r="Q35" s="6">
        <v>0</v>
      </c>
      <c r="R35" s="8">
        <f>N35</f>
        <v>46.072213333333337</v>
      </c>
    </row>
    <row r="36" spans="1:18" x14ac:dyDescent="0.25">
      <c r="A36" s="64"/>
      <c r="B36" s="16" t="s">
        <v>1</v>
      </c>
      <c r="C36" s="15">
        <v>5.84795</v>
      </c>
      <c r="D36" s="43">
        <f t="shared" ref="D36:D59" si="0">(C36/150)*100</f>
        <v>3.8986333333333332</v>
      </c>
      <c r="E36" s="63"/>
      <c r="F36" s="64"/>
      <c r="G36" s="64"/>
      <c r="H36" s="3">
        <v>120</v>
      </c>
      <c r="I36" s="7">
        <f>MEDIAN(D40:D44)</f>
        <v>3.1333199999999999</v>
      </c>
      <c r="J36" s="69"/>
      <c r="K36" s="21" t="s">
        <v>1</v>
      </c>
      <c r="L36" s="20">
        <v>5.9811899999999998</v>
      </c>
      <c r="M36" s="20">
        <f t="shared" ref="M36:M59" si="1">(L36/15)*100</f>
        <v>39.874600000000001</v>
      </c>
      <c r="N36" s="68"/>
      <c r="O36" s="69"/>
      <c r="P36" s="69"/>
      <c r="Q36" s="4">
        <v>120</v>
      </c>
      <c r="R36" s="9">
        <f>N40</f>
        <v>48.588839999999998</v>
      </c>
    </row>
    <row r="37" spans="1:18" x14ac:dyDescent="0.25">
      <c r="A37" s="64"/>
      <c r="B37" s="16" t="s">
        <v>2</v>
      </c>
      <c r="C37" s="15">
        <v>8.1145800000000001</v>
      </c>
      <c r="D37" s="43">
        <f t="shared" si="0"/>
        <v>5.4097200000000001</v>
      </c>
      <c r="E37" s="63"/>
      <c r="F37" s="64"/>
      <c r="G37" s="64"/>
      <c r="H37" s="2">
        <v>240</v>
      </c>
      <c r="I37" s="7">
        <f t="shared" ref="I37" si="2">MEDIAN(D37:D41)</f>
        <v>5.4097200000000001</v>
      </c>
      <c r="J37" s="69"/>
      <c r="K37" s="21" t="s">
        <v>2</v>
      </c>
      <c r="L37" s="20">
        <v>6.5354599999999996</v>
      </c>
      <c r="M37" s="20">
        <f t="shared" si="1"/>
        <v>43.569733333333332</v>
      </c>
      <c r="N37" s="68"/>
      <c r="O37" s="69"/>
      <c r="P37" s="69"/>
      <c r="Q37" s="6">
        <v>240</v>
      </c>
      <c r="R37" s="8">
        <f>N45</f>
        <v>41.036066666666663</v>
      </c>
    </row>
    <row r="38" spans="1:18" x14ac:dyDescent="0.25">
      <c r="A38" s="64"/>
      <c r="B38" s="16" t="s">
        <v>3</v>
      </c>
      <c r="C38" s="15">
        <v>6.8624599999999996</v>
      </c>
      <c r="D38" s="43">
        <f t="shared" si="0"/>
        <v>4.5749733333333324</v>
      </c>
      <c r="E38" s="63"/>
      <c r="F38" s="64"/>
      <c r="G38" s="64"/>
      <c r="H38" s="3">
        <v>480</v>
      </c>
      <c r="I38" s="7">
        <f>MEDIAN(D50:D54)</f>
        <v>3.6819333333333337</v>
      </c>
      <c r="J38" s="69"/>
      <c r="K38" s="21" t="s">
        <v>3</v>
      </c>
      <c r="L38" s="20">
        <v>5.3645899999999997</v>
      </c>
      <c r="M38" s="20">
        <f t="shared" si="1"/>
        <v>35.763933333333334</v>
      </c>
      <c r="N38" s="68"/>
      <c r="O38" s="69"/>
      <c r="P38" s="69"/>
      <c r="Q38" s="4">
        <v>480</v>
      </c>
      <c r="R38" s="9">
        <f>N50</f>
        <v>50.633320000000005</v>
      </c>
    </row>
    <row r="39" spans="1:18" x14ac:dyDescent="0.25">
      <c r="A39" s="64"/>
      <c r="B39" s="16" t="s">
        <v>4</v>
      </c>
      <c r="C39" s="15">
        <v>9.6645699999999994</v>
      </c>
      <c r="D39" s="43">
        <f t="shared" si="0"/>
        <v>6.4430466666666657</v>
      </c>
      <c r="E39" s="63"/>
      <c r="F39" s="64"/>
      <c r="G39" s="64"/>
      <c r="H39" s="2">
        <v>960</v>
      </c>
      <c r="I39" s="7">
        <f>MEDIAN(D55:D59)</f>
        <v>3.6194333333333337</v>
      </c>
      <c r="J39" s="69"/>
      <c r="K39" s="21" t="s">
        <v>4</v>
      </c>
      <c r="L39" s="20">
        <v>6.02712</v>
      </c>
      <c r="M39" s="20">
        <f t="shared" si="1"/>
        <v>40.180799999999998</v>
      </c>
      <c r="N39" s="68"/>
      <c r="O39" s="69"/>
      <c r="P39" s="69"/>
      <c r="Q39" s="6">
        <v>960</v>
      </c>
      <c r="R39" s="8">
        <f>N55</f>
        <v>31.247213333333331</v>
      </c>
    </row>
    <row r="40" spans="1:18" x14ac:dyDescent="0.25">
      <c r="A40" s="72">
        <v>120</v>
      </c>
      <c r="B40" s="18" t="s">
        <v>0</v>
      </c>
      <c r="C40" s="17">
        <v>3.9270900000000002</v>
      </c>
      <c r="D40" s="43">
        <f t="shared" si="0"/>
        <v>2.6180600000000003</v>
      </c>
      <c r="E40" s="65">
        <f t="shared" ref="E40" si="3">AVERAGE(D40:D44)</f>
        <v>4.2444413333333335</v>
      </c>
      <c r="F40" s="64">
        <f t="shared" ref="F40" si="4">STDEV(D40:D44)</f>
        <v>1.8500483143625077</v>
      </c>
      <c r="G40" s="66">
        <f>(F40/E40)*100</f>
        <v>43.587557680049002</v>
      </c>
      <c r="J40" s="71">
        <v>120</v>
      </c>
      <c r="K40" s="23" t="s">
        <v>0</v>
      </c>
      <c r="L40" s="22">
        <v>10.179130000000001</v>
      </c>
      <c r="M40" s="22">
        <f t="shared" si="1"/>
        <v>67.860866666666681</v>
      </c>
      <c r="N40" s="70">
        <f t="shared" ref="N40" si="5">AVERAGE(M40:M44)</f>
        <v>48.588839999999998</v>
      </c>
      <c r="O40" s="69">
        <f t="shared" ref="O40" si="6">STDEV(M40:M44)</f>
        <v>12.735254264669317</v>
      </c>
      <c r="P40" s="71">
        <f>(O40/N40)*100</f>
        <v>26.21024553100942</v>
      </c>
    </row>
    <row r="41" spans="1:18" x14ac:dyDescent="0.25">
      <c r="A41" s="72"/>
      <c r="B41" s="18" t="s">
        <v>1</v>
      </c>
      <c r="C41" s="17">
        <v>9.6666600000000003</v>
      </c>
      <c r="D41" s="43">
        <f t="shared" si="0"/>
        <v>6.4444400000000002</v>
      </c>
      <c r="E41" s="65"/>
      <c r="F41" s="64"/>
      <c r="G41" s="66"/>
      <c r="J41" s="71"/>
      <c r="K41" s="23" t="s">
        <v>1</v>
      </c>
      <c r="L41" s="22">
        <v>8.1812500000000004</v>
      </c>
      <c r="M41" s="22">
        <f t="shared" si="1"/>
        <v>54.541666666666664</v>
      </c>
      <c r="N41" s="70"/>
      <c r="O41" s="69"/>
      <c r="P41" s="71"/>
    </row>
    <row r="42" spans="1:18" x14ac:dyDescent="0.25">
      <c r="A42" s="72"/>
      <c r="B42" s="18" t="s">
        <v>2</v>
      </c>
      <c r="C42" s="17">
        <v>4.69998</v>
      </c>
      <c r="D42" s="43">
        <f t="shared" si="0"/>
        <v>3.1333199999999999</v>
      </c>
      <c r="E42" s="65"/>
      <c r="F42" s="64"/>
      <c r="G42" s="66"/>
      <c r="J42" s="71"/>
      <c r="K42" s="23" t="s">
        <v>2</v>
      </c>
      <c r="L42" s="22">
        <v>5.3603899999999998</v>
      </c>
      <c r="M42" s="22">
        <f t="shared" si="1"/>
        <v>35.735933333333328</v>
      </c>
      <c r="N42" s="70"/>
      <c r="O42" s="69"/>
      <c r="P42" s="71"/>
    </row>
    <row r="43" spans="1:18" x14ac:dyDescent="0.25">
      <c r="A43" s="72"/>
      <c r="B43" s="18" t="s">
        <v>3</v>
      </c>
      <c r="C43" s="17">
        <v>9.1</v>
      </c>
      <c r="D43" s="43">
        <f t="shared" si="0"/>
        <v>6.0666666666666664</v>
      </c>
      <c r="E43" s="65"/>
      <c r="F43" s="64"/>
      <c r="G43" s="66"/>
      <c r="J43" s="71"/>
      <c r="K43" s="23" t="s">
        <v>3</v>
      </c>
      <c r="L43" s="22">
        <v>6.3167099999999996</v>
      </c>
      <c r="M43" s="22">
        <f t="shared" si="1"/>
        <v>42.111399999999996</v>
      </c>
      <c r="N43" s="70"/>
      <c r="O43" s="69"/>
      <c r="P43" s="71"/>
    </row>
    <row r="44" spans="1:18" x14ac:dyDescent="0.25">
      <c r="A44" s="72"/>
      <c r="B44" s="18" t="s">
        <v>4</v>
      </c>
      <c r="C44" s="17">
        <v>4.4395800000000003</v>
      </c>
      <c r="D44" s="43">
        <f t="shared" si="0"/>
        <v>2.9597199999999999</v>
      </c>
      <c r="E44" s="65"/>
      <c r="F44" s="64"/>
      <c r="G44" s="66"/>
      <c r="J44" s="71"/>
      <c r="K44" s="23" t="s">
        <v>4</v>
      </c>
      <c r="L44" s="22">
        <v>6.4041499999999996</v>
      </c>
      <c r="M44" s="22">
        <f t="shared" si="1"/>
        <v>42.694333333333326</v>
      </c>
      <c r="N44" s="70"/>
      <c r="O44" s="69"/>
      <c r="P44" s="71"/>
    </row>
    <row r="45" spans="1:18" x14ac:dyDescent="0.25">
      <c r="A45" s="64">
        <v>240</v>
      </c>
      <c r="B45" s="16" t="s">
        <v>0</v>
      </c>
      <c r="C45" s="15">
        <v>6.1562200000000002</v>
      </c>
      <c r="D45" s="43">
        <f t="shared" si="0"/>
        <v>4.1041466666666668</v>
      </c>
      <c r="E45" s="63">
        <f t="shared" ref="E45" si="7">AVERAGE(D45:D49)</f>
        <v>4.0855599999999992</v>
      </c>
      <c r="F45" s="64">
        <f t="shared" ref="F45" si="8">STDEV(D45:D49)</f>
        <v>1.7171623368478843</v>
      </c>
      <c r="G45" s="64">
        <f>(F45/E45)*100</f>
        <v>42.030035952179986</v>
      </c>
      <c r="J45" s="69">
        <v>240</v>
      </c>
      <c r="K45" s="21" t="s">
        <v>0</v>
      </c>
      <c r="L45" s="20">
        <v>5.2479199999999997</v>
      </c>
      <c r="M45" s="20">
        <f t="shared" si="1"/>
        <v>34.986133333333328</v>
      </c>
      <c r="N45" s="68">
        <f t="shared" ref="N45" si="9">AVERAGE(M45:M49)</f>
        <v>41.036066666666663</v>
      </c>
      <c r="O45" s="69">
        <f t="shared" ref="O45" si="10">STDEV(M45:M49)</f>
        <v>14.639261565317364</v>
      </c>
      <c r="P45" s="69">
        <f>(O45/N45)*100</f>
        <v>35.67413437606276</v>
      </c>
    </row>
    <row r="46" spans="1:18" x14ac:dyDescent="0.25">
      <c r="A46" s="64"/>
      <c r="B46" s="16" t="s">
        <v>1</v>
      </c>
      <c r="C46" s="15">
        <v>7.4396100000000001</v>
      </c>
      <c r="D46" s="43">
        <f t="shared" si="0"/>
        <v>4.95974</v>
      </c>
      <c r="E46" s="63"/>
      <c r="F46" s="64"/>
      <c r="G46" s="64"/>
      <c r="J46" s="69"/>
      <c r="K46" s="21" t="s">
        <v>1</v>
      </c>
      <c r="L46" s="20">
        <v>6.6333299999999999</v>
      </c>
      <c r="M46" s="20">
        <f t="shared" si="1"/>
        <v>44.222200000000001</v>
      </c>
      <c r="N46" s="68"/>
      <c r="O46" s="69"/>
      <c r="P46" s="69"/>
    </row>
    <row r="47" spans="1:18" x14ac:dyDescent="0.25">
      <c r="A47" s="64"/>
      <c r="B47" s="16" t="s">
        <v>2</v>
      </c>
      <c r="C47" s="15">
        <v>4.0000400000000003</v>
      </c>
      <c r="D47" s="43">
        <f t="shared" si="0"/>
        <v>2.6666933333333334</v>
      </c>
      <c r="E47" s="63"/>
      <c r="F47" s="64"/>
      <c r="G47" s="64"/>
      <c r="J47" s="69"/>
      <c r="K47" s="21" t="s">
        <v>2</v>
      </c>
      <c r="L47" s="20">
        <v>4.5208000000000004</v>
      </c>
      <c r="M47" s="20">
        <f t="shared" si="1"/>
        <v>30.138666666666669</v>
      </c>
      <c r="N47" s="68"/>
      <c r="O47" s="69"/>
      <c r="P47" s="69"/>
    </row>
    <row r="48" spans="1:18" x14ac:dyDescent="0.25">
      <c r="A48" s="64"/>
      <c r="B48" s="16" t="s">
        <v>3</v>
      </c>
      <c r="C48" s="15">
        <v>3.3624900000000002</v>
      </c>
      <c r="D48" s="43">
        <f t="shared" si="0"/>
        <v>2.24166</v>
      </c>
      <c r="E48" s="63"/>
      <c r="F48" s="64"/>
      <c r="G48" s="64"/>
      <c r="J48" s="69"/>
      <c r="K48" s="21" t="s">
        <v>3</v>
      </c>
      <c r="L48" s="20">
        <v>4.5958399999999999</v>
      </c>
      <c r="M48" s="20">
        <f t="shared" si="1"/>
        <v>30.638933333333334</v>
      </c>
      <c r="N48" s="68"/>
      <c r="O48" s="69"/>
      <c r="P48" s="69"/>
    </row>
    <row r="49" spans="1:16" x14ac:dyDescent="0.25">
      <c r="A49" s="64"/>
      <c r="B49" s="16" t="s">
        <v>4</v>
      </c>
      <c r="C49" s="15">
        <v>9.6833399999999994</v>
      </c>
      <c r="D49" s="43">
        <f t="shared" si="0"/>
        <v>6.4555599999999993</v>
      </c>
      <c r="E49" s="63"/>
      <c r="F49" s="64"/>
      <c r="G49" s="64"/>
      <c r="J49" s="69"/>
      <c r="K49" s="21" t="s">
        <v>4</v>
      </c>
      <c r="L49" s="20">
        <v>9.7791599999999992</v>
      </c>
      <c r="M49" s="20">
        <f t="shared" si="1"/>
        <v>65.194400000000002</v>
      </c>
      <c r="N49" s="68"/>
      <c r="O49" s="69"/>
      <c r="P49" s="69"/>
    </row>
    <row r="50" spans="1:16" x14ac:dyDescent="0.25">
      <c r="A50" s="66">
        <v>480</v>
      </c>
      <c r="B50" s="18" t="s">
        <v>0</v>
      </c>
      <c r="C50" s="17">
        <v>3.9853900000000002</v>
      </c>
      <c r="D50" s="43">
        <f t="shared" si="0"/>
        <v>2.6569266666666667</v>
      </c>
      <c r="E50" s="65">
        <f t="shared" ref="E50" si="11">AVERAGE(D50:D54)</f>
        <v>4.5116493333333336</v>
      </c>
      <c r="F50" s="64">
        <f t="shared" ref="F50" si="12">STDEV(D50:D54)</f>
        <v>1.8784453373207917</v>
      </c>
      <c r="G50" s="66">
        <f>(F50/E50)*100</f>
        <v>41.635446342035259</v>
      </c>
      <c r="J50" s="71">
        <v>480</v>
      </c>
      <c r="K50" s="23" t="s">
        <v>0</v>
      </c>
      <c r="L50" s="22">
        <v>11.5396</v>
      </c>
      <c r="M50" s="22">
        <f t="shared" si="1"/>
        <v>76.930666666666667</v>
      </c>
      <c r="N50" s="70">
        <f t="shared" ref="N50" si="13">AVERAGE(M50:M54)</f>
        <v>50.633320000000005</v>
      </c>
      <c r="O50" s="69">
        <f t="shared" ref="O50" si="14">STDEV(M50:M54)</f>
        <v>22.078852553387399</v>
      </c>
      <c r="P50" s="71">
        <f>(O50/N50)*100</f>
        <v>43.605381897508195</v>
      </c>
    </row>
    <row r="51" spans="1:16" x14ac:dyDescent="0.25">
      <c r="A51" s="66"/>
      <c r="B51" s="18" t="s">
        <v>1</v>
      </c>
      <c r="C51" s="17">
        <v>5.3499499999999998</v>
      </c>
      <c r="D51" s="43">
        <f t="shared" si="0"/>
        <v>3.5666333333333333</v>
      </c>
      <c r="E51" s="65"/>
      <c r="F51" s="64"/>
      <c r="G51" s="66"/>
      <c r="J51" s="71"/>
      <c r="K51" s="23" t="s">
        <v>1</v>
      </c>
      <c r="L51" s="22">
        <v>6.2958299999999996</v>
      </c>
      <c r="M51" s="22">
        <f t="shared" si="1"/>
        <v>41.972200000000001</v>
      </c>
      <c r="N51" s="70"/>
      <c r="O51" s="69"/>
      <c r="P51" s="71"/>
    </row>
    <row r="52" spans="1:16" x14ac:dyDescent="0.25">
      <c r="A52" s="66"/>
      <c r="B52" s="18" t="s">
        <v>2</v>
      </c>
      <c r="C52" s="17">
        <v>11.16872</v>
      </c>
      <c r="D52" s="43">
        <f t="shared" si="0"/>
        <v>7.4458133333333345</v>
      </c>
      <c r="E52" s="65"/>
      <c r="F52" s="64"/>
      <c r="G52" s="66"/>
      <c r="J52" s="71"/>
      <c r="K52" s="23" t="s">
        <v>2</v>
      </c>
      <c r="L52" s="22">
        <v>3.7250100000000002</v>
      </c>
      <c r="M52" s="22">
        <f t="shared" si="1"/>
        <v>24.833400000000001</v>
      </c>
      <c r="N52" s="70"/>
      <c r="O52" s="69"/>
      <c r="P52" s="71"/>
    </row>
    <row r="53" spans="1:16" x14ac:dyDescent="0.25">
      <c r="A53" s="66"/>
      <c r="B53" s="18" t="s">
        <v>3</v>
      </c>
      <c r="C53" s="17">
        <v>7.8104100000000001</v>
      </c>
      <c r="D53" s="43">
        <f t="shared" si="0"/>
        <v>5.2069400000000003</v>
      </c>
      <c r="E53" s="65"/>
      <c r="F53" s="64"/>
      <c r="G53" s="66"/>
      <c r="J53" s="71"/>
      <c r="K53" s="23" t="s">
        <v>3</v>
      </c>
      <c r="L53" s="22">
        <v>10.541639999999999</v>
      </c>
      <c r="M53" s="22">
        <f t="shared" si="1"/>
        <v>70.277599999999993</v>
      </c>
      <c r="N53" s="70"/>
      <c r="O53" s="69"/>
      <c r="P53" s="71"/>
    </row>
    <row r="54" spans="1:16" x14ac:dyDescent="0.25">
      <c r="A54" s="66"/>
      <c r="B54" s="18" t="s">
        <v>4</v>
      </c>
      <c r="C54" s="17">
        <v>5.5228999999999999</v>
      </c>
      <c r="D54" s="43">
        <f t="shared" si="0"/>
        <v>3.6819333333333337</v>
      </c>
      <c r="E54" s="65"/>
      <c r="F54" s="64"/>
      <c r="G54" s="66"/>
      <c r="J54" s="71"/>
      <c r="K54" s="23" t="s">
        <v>4</v>
      </c>
      <c r="L54" s="22">
        <v>5.8729100000000001</v>
      </c>
      <c r="M54" s="22">
        <f t="shared" si="1"/>
        <v>39.15273333333333</v>
      </c>
      <c r="N54" s="70"/>
      <c r="O54" s="69"/>
      <c r="P54" s="71"/>
    </row>
    <row r="55" spans="1:16" x14ac:dyDescent="0.25">
      <c r="A55" s="64">
        <v>960</v>
      </c>
      <c r="B55" s="16" t="s">
        <v>0</v>
      </c>
      <c r="C55" s="15">
        <v>11.641629999999999</v>
      </c>
      <c r="D55" s="43">
        <f t="shared" si="0"/>
        <v>7.7610866666666665</v>
      </c>
      <c r="E55" s="63">
        <f t="shared" ref="E55" si="15">AVERAGE(D55:D59)</f>
        <v>4.5041613333333332</v>
      </c>
      <c r="F55" s="64">
        <f t="shared" ref="F55" si="16">STDEV(D55:D59)</f>
        <v>1.8613765960552489</v>
      </c>
      <c r="G55" s="64">
        <f>(F55/E55)*100</f>
        <v>41.325708790225001</v>
      </c>
      <c r="J55" s="69">
        <v>960</v>
      </c>
      <c r="K55" s="21" t="s">
        <v>0</v>
      </c>
      <c r="L55" s="20">
        <v>4.0958300000000003</v>
      </c>
      <c r="M55" s="20">
        <f t="shared" si="1"/>
        <v>27.305533333333337</v>
      </c>
      <c r="N55" s="68">
        <f t="shared" ref="N55" si="17">AVERAGE(M55:M59)</f>
        <v>31.247213333333331</v>
      </c>
      <c r="O55" s="69">
        <f t="shared" ref="O55" si="18">STDEV(M55:M59)</f>
        <v>3.7923032167214195</v>
      </c>
      <c r="P55" s="69">
        <f>(O55/N55)*100</f>
        <v>12.136452541436505</v>
      </c>
    </row>
    <row r="56" spans="1:16" x14ac:dyDescent="0.25">
      <c r="A56" s="64"/>
      <c r="B56" s="16" t="s">
        <v>1</v>
      </c>
      <c r="C56" s="15">
        <v>6.4979699999999996</v>
      </c>
      <c r="D56" s="43">
        <f t="shared" si="0"/>
        <v>4.3319799999999997</v>
      </c>
      <c r="E56" s="63"/>
      <c r="F56" s="64"/>
      <c r="G56" s="64"/>
      <c r="J56" s="69"/>
      <c r="K56" s="21" t="s">
        <v>1</v>
      </c>
      <c r="L56" s="20">
        <v>4.9562600000000003</v>
      </c>
      <c r="M56" s="20">
        <f t="shared" si="1"/>
        <v>33.041733333333333</v>
      </c>
      <c r="N56" s="68"/>
      <c r="O56" s="69"/>
      <c r="P56" s="69"/>
    </row>
    <row r="57" spans="1:16" x14ac:dyDescent="0.25">
      <c r="A57" s="64"/>
      <c r="B57" s="16" t="s">
        <v>2</v>
      </c>
      <c r="C57" s="15">
        <v>5.4291499999999999</v>
      </c>
      <c r="D57" s="43">
        <f t="shared" si="0"/>
        <v>3.6194333333333337</v>
      </c>
      <c r="E57" s="63"/>
      <c r="F57" s="64"/>
      <c r="G57" s="64"/>
      <c r="J57" s="69"/>
      <c r="K57" s="21" t="s">
        <v>2</v>
      </c>
      <c r="L57" s="20">
        <v>4.13544</v>
      </c>
      <c r="M57" s="20">
        <f t="shared" si="1"/>
        <v>27.569600000000001</v>
      </c>
      <c r="N57" s="68"/>
      <c r="O57" s="69"/>
      <c r="P57" s="69"/>
    </row>
    <row r="58" spans="1:16" x14ac:dyDescent="0.25">
      <c r="A58" s="64"/>
      <c r="B58" s="16" t="s">
        <v>3</v>
      </c>
      <c r="C58" s="15">
        <v>4.9603999999999999</v>
      </c>
      <c r="D58" s="43">
        <f t="shared" si="0"/>
        <v>3.3069333333333333</v>
      </c>
      <c r="E58" s="63"/>
      <c r="F58" s="64"/>
      <c r="G58" s="64"/>
      <c r="J58" s="69"/>
      <c r="K58" s="21" t="s">
        <v>3</v>
      </c>
      <c r="L58" s="20">
        <v>5.4291499999999999</v>
      </c>
      <c r="M58" s="20">
        <f t="shared" si="1"/>
        <v>36.194333333333333</v>
      </c>
      <c r="N58" s="68"/>
      <c r="O58" s="69"/>
      <c r="P58" s="69"/>
    </row>
    <row r="59" spans="1:16" x14ac:dyDescent="0.25">
      <c r="A59" s="64"/>
      <c r="B59" s="16" t="s">
        <v>4</v>
      </c>
      <c r="C59" s="15">
        <v>5.2520600000000002</v>
      </c>
      <c r="D59" s="43">
        <f t="shared" si="0"/>
        <v>3.501373333333333</v>
      </c>
      <c r="E59" s="63"/>
      <c r="F59" s="64"/>
      <c r="G59" s="64"/>
      <c r="J59" s="69"/>
      <c r="K59" s="21" t="s">
        <v>4</v>
      </c>
      <c r="L59" s="20">
        <v>4.8187300000000004</v>
      </c>
      <c r="M59" s="20">
        <f t="shared" si="1"/>
        <v>32.124866666666669</v>
      </c>
      <c r="N59" s="68"/>
      <c r="O59" s="69"/>
      <c r="P59" s="69"/>
    </row>
  </sheetData>
  <mergeCells count="88">
    <mergeCell ref="Q33:R33"/>
    <mergeCell ref="J33:P33"/>
    <mergeCell ref="A33:G33"/>
    <mergeCell ref="J50:J54"/>
    <mergeCell ref="N50:N54"/>
    <mergeCell ref="O50:O54"/>
    <mergeCell ref="P50:P54"/>
    <mergeCell ref="J35:J39"/>
    <mergeCell ref="N35:N39"/>
    <mergeCell ref="O35:O39"/>
    <mergeCell ref="P35:P39"/>
    <mergeCell ref="A50:A54"/>
    <mergeCell ref="E50:E54"/>
    <mergeCell ref="F50:F54"/>
    <mergeCell ref="G50:G54"/>
    <mergeCell ref="H33:I33"/>
    <mergeCell ref="J55:J59"/>
    <mergeCell ref="N55:N59"/>
    <mergeCell ref="O55:O59"/>
    <mergeCell ref="P55:P59"/>
    <mergeCell ref="J40:J44"/>
    <mergeCell ref="N40:N44"/>
    <mergeCell ref="O40:O44"/>
    <mergeCell ref="P40:P44"/>
    <mergeCell ref="J45:J49"/>
    <mergeCell ref="N45:N49"/>
    <mergeCell ref="O45:O49"/>
    <mergeCell ref="P45:P49"/>
    <mergeCell ref="A55:A59"/>
    <mergeCell ref="E55:E59"/>
    <mergeCell ref="F55:F59"/>
    <mergeCell ref="G55:G59"/>
    <mergeCell ref="A40:A44"/>
    <mergeCell ref="E40:E44"/>
    <mergeCell ref="F40:F44"/>
    <mergeCell ref="G40:G44"/>
    <mergeCell ref="A45:A49"/>
    <mergeCell ref="E45:E49"/>
    <mergeCell ref="F45:F49"/>
    <mergeCell ref="G45:G49"/>
    <mergeCell ref="A35:A39"/>
    <mergeCell ref="E35:E39"/>
    <mergeCell ref="F35:F39"/>
    <mergeCell ref="G35:G39"/>
    <mergeCell ref="A13:A17"/>
    <mergeCell ref="A18:A22"/>
    <mergeCell ref="A23:A27"/>
    <mergeCell ref="D23:D27"/>
    <mergeCell ref="E23:E27"/>
    <mergeCell ref="F23:F27"/>
    <mergeCell ref="D13:D17"/>
    <mergeCell ref="E13:E17"/>
    <mergeCell ref="F13:F17"/>
    <mergeCell ref="D18:D22"/>
    <mergeCell ref="E18:E22"/>
    <mergeCell ref="F18:F22"/>
    <mergeCell ref="A1:F1"/>
    <mergeCell ref="D3:D7"/>
    <mergeCell ref="E3:E7"/>
    <mergeCell ref="F3:F7"/>
    <mergeCell ref="D8:D12"/>
    <mergeCell ref="E8:E12"/>
    <mergeCell ref="F8:F12"/>
    <mergeCell ref="A3:A7"/>
    <mergeCell ref="A8:A12"/>
    <mergeCell ref="N13:N17"/>
    <mergeCell ref="G1:H1"/>
    <mergeCell ref="I1:N1"/>
    <mergeCell ref="I3:I7"/>
    <mergeCell ref="L3:L7"/>
    <mergeCell ref="M3:M7"/>
    <mergeCell ref="N3:N7"/>
    <mergeCell ref="I23:I27"/>
    <mergeCell ref="L23:L27"/>
    <mergeCell ref="M23:M27"/>
    <mergeCell ref="N23:N27"/>
    <mergeCell ref="O1:P1"/>
    <mergeCell ref="I18:I22"/>
    <mergeCell ref="L18:L22"/>
    <mergeCell ref="M18:M22"/>
    <mergeCell ref="N18:N22"/>
    <mergeCell ref="I8:I12"/>
    <mergeCell ref="L8:L12"/>
    <mergeCell ref="M8:M12"/>
    <mergeCell ref="N8:N12"/>
    <mergeCell ref="I13:I17"/>
    <mergeCell ref="L13:L17"/>
    <mergeCell ref="M13:M1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6"/>
  <sheetViews>
    <sheetView topLeftCell="A25" workbookViewId="0">
      <selection activeCell="E3" sqref="E3:E7"/>
    </sheetView>
  </sheetViews>
  <sheetFormatPr defaultColWidth="8.7109375" defaultRowHeight="15" x14ac:dyDescent="0.25"/>
  <cols>
    <col min="3" max="3" width="12.140625" customWidth="1"/>
    <col min="8" max="8" width="10.42578125" bestFit="1" customWidth="1"/>
    <col min="11" max="11" width="12.28515625" customWidth="1"/>
    <col min="16" max="16" width="9.42578125" bestFit="1" customWidth="1"/>
  </cols>
  <sheetData>
    <row r="1" spans="1:16" x14ac:dyDescent="0.25">
      <c r="A1" s="62" t="s">
        <v>5</v>
      </c>
      <c r="B1" s="62"/>
      <c r="C1" s="62"/>
      <c r="D1" s="62"/>
      <c r="E1" s="62"/>
      <c r="F1" s="62"/>
      <c r="G1" s="62" t="s">
        <v>14</v>
      </c>
      <c r="H1" s="62"/>
      <c r="I1" s="67" t="s">
        <v>12</v>
      </c>
      <c r="J1" s="67"/>
      <c r="K1" s="67"/>
      <c r="L1" s="67"/>
      <c r="M1" s="67"/>
      <c r="N1" s="67"/>
      <c r="O1" s="61" t="s">
        <v>14</v>
      </c>
      <c r="P1" s="61"/>
    </row>
    <row r="2" spans="1:16" x14ac:dyDescent="0.25">
      <c r="A2" s="1" t="s">
        <v>17</v>
      </c>
      <c r="B2" s="1" t="s">
        <v>11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15</v>
      </c>
      <c r="H2" s="1" t="s">
        <v>16</v>
      </c>
      <c r="I2" s="19" t="s">
        <v>17</v>
      </c>
      <c r="J2" s="19" t="s">
        <v>11</v>
      </c>
      <c r="K2" s="19" t="s">
        <v>7</v>
      </c>
      <c r="L2" s="19" t="s">
        <v>8</v>
      </c>
      <c r="M2" s="19" t="s">
        <v>9</v>
      </c>
      <c r="N2" s="19" t="s">
        <v>10</v>
      </c>
      <c r="O2" s="23" t="s">
        <v>15</v>
      </c>
      <c r="P2" s="23" t="s">
        <v>16</v>
      </c>
    </row>
    <row r="3" spans="1:16" x14ac:dyDescent="0.25">
      <c r="A3" s="64">
        <v>0</v>
      </c>
      <c r="B3" s="16" t="s">
        <v>0</v>
      </c>
      <c r="C3" s="15">
        <v>135.95035999999999</v>
      </c>
      <c r="D3" s="63">
        <f>AVERAGE(C3:C7)</f>
        <v>107.55778000000001</v>
      </c>
      <c r="E3" s="64">
        <f>_xlfn.STDEV.S(C3:C7)</f>
        <v>25.252810383083084</v>
      </c>
      <c r="F3" s="64">
        <f>(E3/D3)*100</f>
        <v>23.47836705358095</v>
      </c>
      <c r="G3" s="2">
        <v>0</v>
      </c>
      <c r="H3" s="14">
        <f>MEDIAN(C3:C7)</f>
        <v>95.029380000000003</v>
      </c>
      <c r="I3" s="69">
        <v>0</v>
      </c>
      <c r="J3" s="21" t="s">
        <v>0</v>
      </c>
      <c r="K3" s="20">
        <v>46.832459999999998</v>
      </c>
      <c r="L3" s="68">
        <f>AVERAGE(K3:K7)</f>
        <v>72.554423999999997</v>
      </c>
      <c r="M3" s="69">
        <f>_xlfn.STDEV.S(K3:K7)</f>
        <v>16.862221248587947</v>
      </c>
      <c r="N3" s="69">
        <f>(M3/L3)*100</f>
        <v>23.240789904951829</v>
      </c>
      <c r="O3" s="6">
        <v>0</v>
      </c>
      <c r="P3" s="8">
        <f>L3</f>
        <v>72.554423999999997</v>
      </c>
    </row>
    <row r="4" spans="1:16" x14ac:dyDescent="0.25">
      <c r="A4" s="64"/>
      <c r="B4" s="16" t="s">
        <v>1</v>
      </c>
      <c r="C4" s="15">
        <v>82.204790000000003</v>
      </c>
      <c r="D4" s="63"/>
      <c r="E4" s="64"/>
      <c r="F4" s="64"/>
      <c r="G4" s="3">
        <v>200</v>
      </c>
      <c r="H4" s="14">
        <f>MEDIAN(C8:C12)</f>
        <v>72.84</v>
      </c>
      <c r="I4" s="69"/>
      <c r="J4" s="21" t="s">
        <v>1</v>
      </c>
      <c r="K4" s="20">
        <v>64.235029999999995</v>
      </c>
      <c r="L4" s="68"/>
      <c r="M4" s="69"/>
      <c r="N4" s="69"/>
      <c r="O4" s="4">
        <v>200</v>
      </c>
      <c r="P4" s="9">
        <f>L8</f>
        <v>59.038088000000002</v>
      </c>
    </row>
    <row r="5" spans="1:16" x14ac:dyDescent="0.25">
      <c r="A5" s="64"/>
      <c r="B5" s="16" t="s">
        <v>2</v>
      </c>
      <c r="C5" s="15">
        <v>91.089860000000002</v>
      </c>
      <c r="D5" s="63"/>
      <c r="E5" s="64"/>
      <c r="F5" s="64"/>
      <c r="G5" s="2">
        <v>400</v>
      </c>
      <c r="H5" s="14">
        <f>MEDIAN(C13:C17)</f>
        <v>86.045310000000001</v>
      </c>
      <c r="I5" s="69"/>
      <c r="J5" s="21" t="s">
        <v>2</v>
      </c>
      <c r="K5" s="20">
        <v>84.411600000000007</v>
      </c>
      <c r="L5" s="68"/>
      <c r="M5" s="69"/>
      <c r="N5" s="69"/>
      <c r="O5" s="6">
        <v>400</v>
      </c>
      <c r="P5" s="8">
        <f>L13</f>
        <v>66.467821999999984</v>
      </c>
    </row>
    <row r="6" spans="1:16" x14ac:dyDescent="0.25">
      <c r="A6" s="64"/>
      <c r="B6" s="16" t="s">
        <v>3</v>
      </c>
      <c r="C6" s="15">
        <v>95.029380000000003</v>
      </c>
      <c r="D6" s="63"/>
      <c r="E6" s="64"/>
      <c r="F6" s="64"/>
      <c r="G6" s="3">
        <v>600</v>
      </c>
      <c r="H6" s="14">
        <f>MEDIAN(C18:C22)</f>
        <v>84.701120000000003</v>
      </c>
      <c r="I6" s="69"/>
      <c r="J6" s="21" t="s">
        <v>3</v>
      </c>
      <c r="K6" s="20">
        <v>86.796490000000006</v>
      </c>
      <c r="L6" s="68"/>
      <c r="M6" s="69"/>
      <c r="N6" s="69"/>
      <c r="O6" s="4">
        <v>600</v>
      </c>
      <c r="P6" s="9">
        <f>L18</f>
        <v>66.589461999999997</v>
      </c>
    </row>
    <row r="7" spans="1:16" x14ac:dyDescent="0.25">
      <c r="A7" s="64"/>
      <c r="B7" s="16" t="s">
        <v>4</v>
      </c>
      <c r="C7" s="15">
        <v>133.51451</v>
      </c>
      <c r="D7" s="63"/>
      <c r="E7" s="64"/>
      <c r="F7" s="64"/>
      <c r="G7" s="2">
        <v>720</v>
      </c>
      <c r="H7" s="14">
        <f>MEDIAN(C23:C27)</f>
        <v>79.010000000000005</v>
      </c>
      <c r="I7" s="69"/>
      <c r="J7" s="21" t="s">
        <v>4</v>
      </c>
      <c r="K7" s="20">
        <v>80.496539999999996</v>
      </c>
      <c r="L7" s="68"/>
      <c r="M7" s="69"/>
      <c r="N7" s="69"/>
      <c r="O7" s="6">
        <v>720</v>
      </c>
      <c r="P7" s="8">
        <f>L23</f>
        <v>39.16522333333333</v>
      </c>
    </row>
    <row r="8" spans="1:16" x14ac:dyDescent="0.25">
      <c r="A8" s="72">
        <v>200</v>
      </c>
      <c r="B8" s="18" t="s">
        <v>0</v>
      </c>
      <c r="C8" s="17">
        <v>72.84</v>
      </c>
      <c r="D8" s="65">
        <f>AVERAGE(C8:C12)</f>
        <v>72.837167999999991</v>
      </c>
      <c r="E8" s="66">
        <f>_xlfn.STDEV.S(C8:C12)</f>
        <v>15.67657984185551</v>
      </c>
      <c r="F8" s="66">
        <f>(E8/D8)*100</f>
        <v>21.522775078041903</v>
      </c>
      <c r="I8" s="71">
        <v>200</v>
      </c>
      <c r="J8" s="23" t="s">
        <v>0</v>
      </c>
      <c r="K8" s="22">
        <v>37.826569999999997</v>
      </c>
      <c r="L8" s="70">
        <f>AVERAGE(K8:K12)</f>
        <v>59.038088000000002</v>
      </c>
      <c r="M8" s="71">
        <f>_xlfn.STDEV.S(K8:K12)</f>
        <v>15.69695687812988</v>
      </c>
      <c r="N8" s="71">
        <f>(M8/L8)*100</f>
        <v>26.587847624960144</v>
      </c>
    </row>
    <row r="9" spans="1:16" x14ac:dyDescent="0.25">
      <c r="A9" s="72"/>
      <c r="B9" s="18" t="s">
        <v>1</v>
      </c>
      <c r="C9" s="17">
        <v>77.940299999999993</v>
      </c>
      <c r="D9" s="65"/>
      <c r="E9" s="66"/>
      <c r="F9" s="66"/>
      <c r="I9" s="71"/>
      <c r="J9" s="23" t="s">
        <v>1</v>
      </c>
      <c r="K9" s="22">
        <v>49.48818</v>
      </c>
      <c r="L9" s="70"/>
      <c r="M9" s="71"/>
      <c r="N9" s="71"/>
    </row>
    <row r="10" spans="1:16" x14ac:dyDescent="0.25">
      <c r="A10" s="72"/>
      <c r="B10" s="18" t="s">
        <v>2</v>
      </c>
      <c r="C10" s="17">
        <v>63.367440000000002</v>
      </c>
      <c r="D10" s="65"/>
      <c r="E10" s="66"/>
      <c r="F10" s="66"/>
      <c r="I10" s="71"/>
      <c r="J10" s="23" t="s">
        <v>2</v>
      </c>
      <c r="K10" s="22">
        <v>64.124179999999996</v>
      </c>
      <c r="L10" s="70"/>
      <c r="M10" s="71"/>
      <c r="N10" s="71"/>
    </row>
    <row r="11" spans="1:16" x14ac:dyDescent="0.25">
      <c r="A11" s="72"/>
      <c r="B11" s="18" t="s">
        <v>3</v>
      </c>
      <c r="C11" s="17">
        <v>54.309370000000001</v>
      </c>
      <c r="D11" s="65"/>
      <c r="E11" s="66"/>
      <c r="F11" s="66"/>
      <c r="I11" s="71"/>
      <c r="J11" s="23" t="s">
        <v>3</v>
      </c>
      <c r="K11" s="22">
        <v>78.545419999999993</v>
      </c>
      <c r="L11" s="70"/>
      <c r="M11" s="71"/>
      <c r="N11" s="71"/>
    </row>
    <row r="12" spans="1:16" x14ac:dyDescent="0.25">
      <c r="A12" s="72"/>
      <c r="B12" s="18" t="s">
        <v>4</v>
      </c>
      <c r="C12" s="17">
        <v>95.728729999999999</v>
      </c>
      <c r="D12" s="65"/>
      <c r="E12" s="66"/>
      <c r="F12" s="66"/>
      <c r="I12" s="71"/>
      <c r="J12" s="23" t="s">
        <v>4</v>
      </c>
      <c r="K12" s="22">
        <v>65.206090000000003</v>
      </c>
      <c r="L12" s="70"/>
      <c r="M12" s="71"/>
      <c r="N12" s="71"/>
    </row>
    <row r="13" spans="1:16" x14ac:dyDescent="0.25">
      <c r="A13" s="64">
        <v>400</v>
      </c>
      <c r="B13" s="16" t="s">
        <v>0</v>
      </c>
      <c r="C13" s="15">
        <v>86.045310000000001</v>
      </c>
      <c r="D13" s="63">
        <f>AVERAGE(C13:C17)</f>
        <v>83.888621999999998</v>
      </c>
      <c r="E13" s="64">
        <f>_xlfn.STDEV.S(C13:C17)</f>
        <v>26.285558275083684</v>
      </c>
      <c r="F13" s="64">
        <f>(E13/D13)*100</f>
        <v>31.333877763641993</v>
      </c>
      <c r="I13" s="69">
        <v>400</v>
      </c>
      <c r="J13" s="21" t="s">
        <v>0</v>
      </c>
      <c r="K13" s="20">
        <v>90.969409999999996</v>
      </c>
      <c r="L13" s="68">
        <f>AVERAGE(K13:K17)</f>
        <v>66.467821999999984</v>
      </c>
      <c r="M13" s="69">
        <f>_xlfn.STDEV.S(K13:K17)</f>
        <v>17.367084787164849</v>
      </c>
      <c r="N13" s="69">
        <f>(M13/L13)*100</f>
        <v>26.128560052960442</v>
      </c>
    </row>
    <row r="14" spans="1:16" x14ac:dyDescent="0.25">
      <c r="A14" s="64"/>
      <c r="B14" s="16" t="s">
        <v>1</v>
      </c>
      <c r="C14" s="15">
        <v>52.205460000000002</v>
      </c>
      <c r="D14" s="63"/>
      <c r="E14" s="64"/>
      <c r="F14" s="64"/>
      <c r="I14" s="69"/>
      <c r="J14" s="21" t="s">
        <v>1</v>
      </c>
      <c r="K14" s="20">
        <v>73.252610000000004</v>
      </c>
      <c r="L14" s="68"/>
      <c r="M14" s="69"/>
      <c r="N14" s="69"/>
    </row>
    <row r="15" spans="1:16" x14ac:dyDescent="0.25">
      <c r="A15" s="64"/>
      <c r="B15" s="16" t="s">
        <v>2</v>
      </c>
      <c r="C15" s="15">
        <v>69.937600000000003</v>
      </c>
      <c r="D15" s="63"/>
      <c r="E15" s="64"/>
      <c r="F15" s="64"/>
      <c r="I15" s="69"/>
      <c r="J15" s="21" t="s">
        <v>2</v>
      </c>
      <c r="K15" s="20">
        <v>58.738100000000003</v>
      </c>
      <c r="L15" s="68"/>
      <c r="M15" s="69"/>
      <c r="N15" s="69"/>
    </row>
    <row r="16" spans="1:16" x14ac:dyDescent="0.25">
      <c r="A16" s="64"/>
      <c r="B16" s="16" t="s">
        <v>3</v>
      </c>
      <c r="C16" s="15">
        <v>88.084980000000002</v>
      </c>
      <c r="D16" s="63"/>
      <c r="E16" s="64"/>
      <c r="F16" s="64"/>
      <c r="I16" s="69"/>
      <c r="J16" s="21" t="s">
        <v>3</v>
      </c>
      <c r="K16" s="20">
        <v>44.132629999999999</v>
      </c>
      <c r="L16" s="68"/>
      <c r="M16" s="69"/>
      <c r="N16" s="69"/>
    </row>
    <row r="17" spans="1:18" x14ac:dyDescent="0.25">
      <c r="A17" s="64"/>
      <c r="B17" s="16" t="s">
        <v>4</v>
      </c>
      <c r="C17" s="15">
        <v>123.16976</v>
      </c>
      <c r="D17" s="63"/>
      <c r="E17" s="64"/>
      <c r="F17" s="64"/>
      <c r="I17" s="69"/>
      <c r="J17" s="21" t="s">
        <v>4</v>
      </c>
      <c r="K17" s="20">
        <v>65.246359999999996</v>
      </c>
      <c r="L17" s="68"/>
      <c r="M17" s="69"/>
      <c r="N17" s="69"/>
    </row>
    <row r="18" spans="1:18" x14ac:dyDescent="0.25">
      <c r="A18" s="66">
        <v>600</v>
      </c>
      <c r="B18" s="18" t="s">
        <v>0</v>
      </c>
      <c r="C18" s="17">
        <v>95.463459999999998</v>
      </c>
      <c r="D18" s="65">
        <f>AVERAGE(C18:C22)</f>
        <v>79.033953999999994</v>
      </c>
      <c r="E18" s="66">
        <f>_xlfn.STDEV.S(C18:C22)</f>
        <v>25.795266815933147</v>
      </c>
      <c r="F18" s="66">
        <f>(E18/D18)*100</f>
        <v>32.638208656412594</v>
      </c>
      <c r="I18" s="71">
        <v>600</v>
      </c>
      <c r="J18" s="23" t="s">
        <v>0</v>
      </c>
      <c r="K18" s="22">
        <v>76.345269999999999</v>
      </c>
      <c r="L18" s="70">
        <f>AVERAGE(K18:K22)</f>
        <v>66.589461999999997</v>
      </c>
      <c r="M18" s="71">
        <f>_xlfn.STDEV.S(K18:K22)</f>
        <v>17.025676641664525</v>
      </c>
      <c r="N18" s="71">
        <f>(M18/L18)*100</f>
        <v>25.568124640599326</v>
      </c>
    </row>
    <row r="19" spans="1:18" x14ac:dyDescent="0.25">
      <c r="A19" s="66"/>
      <c r="B19" s="18" t="s">
        <v>1</v>
      </c>
      <c r="C19" s="17">
        <v>52.787289999999999</v>
      </c>
      <c r="D19" s="65"/>
      <c r="E19" s="66"/>
      <c r="F19" s="66"/>
      <c r="I19" s="71"/>
      <c r="J19" s="23" t="s">
        <v>1</v>
      </c>
      <c r="K19" s="22">
        <v>87.557630000000003</v>
      </c>
      <c r="L19" s="70"/>
      <c r="M19" s="71"/>
      <c r="N19" s="71"/>
    </row>
    <row r="20" spans="1:18" x14ac:dyDescent="0.25">
      <c r="A20" s="66"/>
      <c r="B20" s="18" t="s">
        <v>2</v>
      </c>
      <c r="C20" s="17">
        <v>109.93635999999999</v>
      </c>
      <c r="D20" s="65"/>
      <c r="E20" s="66"/>
      <c r="F20" s="66"/>
      <c r="I20" s="71"/>
      <c r="J20" s="23" t="s">
        <v>2</v>
      </c>
      <c r="K20" s="22">
        <v>57.063670000000002</v>
      </c>
      <c r="L20" s="70"/>
      <c r="M20" s="71"/>
      <c r="N20" s="71"/>
    </row>
    <row r="21" spans="1:18" x14ac:dyDescent="0.25">
      <c r="A21" s="66"/>
      <c r="B21" s="18" t="s">
        <v>3</v>
      </c>
      <c r="C21" s="17">
        <v>84.701120000000003</v>
      </c>
      <c r="D21" s="65"/>
      <c r="E21" s="66"/>
      <c r="F21" s="66"/>
      <c r="I21" s="71"/>
      <c r="J21" s="23" t="s">
        <v>3</v>
      </c>
      <c r="K21" s="22">
        <v>43.555889999999998</v>
      </c>
      <c r="L21" s="70"/>
      <c r="M21" s="71"/>
      <c r="N21" s="71"/>
    </row>
    <row r="22" spans="1:18" x14ac:dyDescent="0.25">
      <c r="A22" s="66"/>
      <c r="B22" s="18" t="s">
        <v>4</v>
      </c>
      <c r="C22" s="17">
        <v>52.28154</v>
      </c>
      <c r="D22" s="65"/>
      <c r="E22" s="66"/>
      <c r="F22" s="66"/>
      <c r="I22" s="71"/>
      <c r="J22" s="23" t="s">
        <v>4</v>
      </c>
      <c r="K22" s="22">
        <v>68.424850000000006</v>
      </c>
      <c r="L22" s="70"/>
      <c r="M22" s="71"/>
      <c r="N22" s="71"/>
    </row>
    <row r="23" spans="1:18" x14ac:dyDescent="0.25">
      <c r="A23" s="64">
        <v>720</v>
      </c>
      <c r="B23" s="16" t="s">
        <v>0</v>
      </c>
      <c r="C23" s="15">
        <v>79.010000000000005</v>
      </c>
      <c r="D23" s="63">
        <f>AVERAGE(C23:C27)</f>
        <v>79.01003</v>
      </c>
      <c r="E23" s="64">
        <f>_xlfn.STDEV.S(C23:C27)</f>
        <v>15.596264169430155</v>
      </c>
      <c r="F23" s="64">
        <f>(E23/D23)*100</f>
        <v>19.739600363941332</v>
      </c>
      <c r="I23" s="69">
        <v>720</v>
      </c>
      <c r="J23" s="21" t="s">
        <v>0</v>
      </c>
      <c r="K23" s="20">
        <v>25.238990000000001</v>
      </c>
      <c r="L23" s="68">
        <f>AVERAGE(K23:K27)</f>
        <v>39.16522333333333</v>
      </c>
      <c r="M23" s="69">
        <f>_xlfn.STDEV.S(K23:K27)</f>
        <v>12.936512533358206</v>
      </c>
      <c r="N23" s="69">
        <f>(M23/L23)*100</f>
        <v>33.030610915342344</v>
      </c>
    </row>
    <row r="24" spans="1:18" x14ac:dyDescent="0.25">
      <c r="A24" s="64"/>
      <c r="B24" s="16" t="s">
        <v>1</v>
      </c>
      <c r="C24" s="15">
        <v>58.95299</v>
      </c>
      <c r="D24" s="63"/>
      <c r="E24" s="64"/>
      <c r="F24" s="64"/>
      <c r="I24" s="69"/>
      <c r="J24" s="21" t="s">
        <v>1</v>
      </c>
      <c r="K24" s="20">
        <v>50.80791</v>
      </c>
      <c r="L24" s="68"/>
      <c r="M24" s="69"/>
      <c r="N24" s="69"/>
    </row>
    <row r="25" spans="1:18" x14ac:dyDescent="0.25">
      <c r="A25" s="64"/>
      <c r="B25" s="16" t="s">
        <v>2</v>
      </c>
      <c r="C25" s="15">
        <v>71.438490000000002</v>
      </c>
      <c r="D25" s="63"/>
      <c r="E25" s="64"/>
      <c r="F25" s="64"/>
      <c r="I25" s="69"/>
      <c r="J25" s="21" t="s">
        <v>2</v>
      </c>
      <c r="K25" s="20">
        <v>41.448770000000003</v>
      </c>
      <c r="L25" s="68"/>
      <c r="M25" s="69"/>
      <c r="N25" s="69"/>
    </row>
    <row r="26" spans="1:18" x14ac:dyDescent="0.25">
      <c r="A26" s="64"/>
      <c r="B26" s="16" t="s">
        <v>3</v>
      </c>
      <c r="C26" s="15">
        <v>100.93885</v>
      </c>
      <c r="D26" s="63"/>
      <c r="E26" s="64"/>
      <c r="F26" s="64"/>
      <c r="I26" s="69"/>
      <c r="J26" s="21" t="s">
        <v>3</v>
      </c>
      <c r="K26" s="20"/>
      <c r="L26" s="68"/>
      <c r="M26" s="69"/>
      <c r="N26" s="69"/>
    </row>
    <row r="27" spans="1:18" x14ac:dyDescent="0.25">
      <c r="A27" s="64"/>
      <c r="B27" s="16" t="s">
        <v>4</v>
      </c>
      <c r="C27" s="15">
        <v>84.709819999999993</v>
      </c>
      <c r="D27" s="63"/>
      <c r="E27" s="64"/>
      <c r="F27" s="64"/>
      <c r="I27" s="69"/>
      <c r="J27" s="21" t="s">
        <v>4</v>
      </c>
      <c r="K27" s="20"/>
      <c r="L27" s="68"/>
      <c r="M27" s="69"/>
      <c r="N27" s="69"/>
    </row>
    <row r="30" spans="1:18" x14ac:dyDescent="0.25">
      <c r="A30" s="62" t="s">
        <v>5</v>
      </c>
      <c r="B30" s="62"/>
      <c r="C30" s="62"/>
      <c r="D30" s="62"/>
      <c r="E30" s="62"/>
      <c r="F30" s="62"/>
      <c r="G30" s="62"/>
      <c r="H30" s="62" t="s">
        <v>14</v>
      </c>
      <c r="I30" s="62"/>
      <c r="J30" s="67" t="s">
        <v>12</v>
      </c>
      <c r="K30" s="67"/>
      <c r="L30" s="67"/>
      <c r="M30" s="67"/>
      <c r="N30" s="67"/>
      <c r="O30" s="67"/>
      <c r="P30" s="67"/>
      <c r="Q30" s="61" t="s">
        <v>14</v>
      </c>
      <c r="R30" s="61"/>
    </row>
    <row r="31" spans="1:18" x14ac:dyDescent="0.25">
      <c r="A31" s="1" t="s">
        <v>17</v>
      </c>
      <c r="B31" s="1" t="s">
        <v>11</v>
      </c>
      <c r="C31" s="1" t="s">
        <v>27</v>
      </c>
      <c r="D31" s="1" t="s">
        <v>25</v>
      </c>
      <c r="E31" s="1" t="s">
        <v>26</v>
      </c>
      <c r="F31" s="1" t="s">
        <v>9</v>
      </c>
      <c r="G31" s="1" t="s">
        <v>10</v>
      </c>
      <c r="H31" s="1" t="s">
        <v>15</v>
      </c>
      <c r="I31" s="1" t="s">
        <v>16</v>
      </c>
      <c r="J31" s="19" t="s">
        <v>17</v>
      </c>
      <c r="K31" s="19" t="s">
        <v>11</v>
      </c>
      <c r="L31" s="19" t="s">
        <v>27</v>
      </c>
      <c r="M31" s="19" t="s">
        <v>25</v>
      </c>
      <c r="N31" s="19" t="s">
        <v>26</v>
      </c>
      <c r="O31" s="19" t="s">
        <v>9</v>
      </c>
      <c r="P31" s="19" t="s">
        <v>10</v>
      </c>
      <c r="Q31" s="23" t="s">
        <v>15</v>
      </c>
      <c r="R31" s="23" t="s">
        <v>16</v>
      </c>
    </row>
    <row r="32" spans="1:18" x14ac:dyDescent="0.25">
      <c r="A32" s="64">
        <v>0</v>
      </c>
      <c r="B32" s="16" t="s">
        <v>0</v>
      </c>
      <c r="C32" s="15">
        <v>4.59375</v>
      </c>
      <c r="D32" s="15">
        <f>(C32/150)*100</f>
        <v>3.0625</v>
      </c>
      <c r="E32" s="63">
        <f>AVERAGE(D32:D36)</f>
        <v>4.6777746666666662</v>
      </c>
      <c r="F32" s="64">
        <f>STDEV(D32:D36)</f>
        <v>1.3113610091419461</v>
      </c>
      <c r="G32" s="64">
        <f>(F32/E32)*100</f>
        <v>28.033864445984708</v>
      </c>
      <c r="H32" s="2">
        <v>0</v>
      </c>
      <c r="I32" s="14">
        <f>MEDIAN(D32:D36)</f>
        <v>4.5749733333333324</v>
      </c>
      <c r="J32" s="69">
        <v>0</v>
      </c>
      <c r="K32" s="21" t="s">
        <v>0</v>
      </c>
      <c r="L32" s="20">
        <v>10.645799999999999</v>
      </c>
      <c r="M32" s="20">
        <f>(L32/15)*100</f>
        <v>70.972000000000008</v>
      </c>
      <c r="N32" s="68">
        <f>AVERAGE(M32:M36)</f>
        <v>46.072213333333337</v>
      </c>
      <c r="O32" s="69">
        <f>STDEV(M32:M36)</f>
        <v>14.19191302157674</v>
      </c>
      <c r="P32" s="69">
        <f>(O32/N32)*100</f>
        <v>30.803627598478894</v>
      </c>
      <c r="Q32" s="6">
        <v>0</v>
      </c>
      <c r="R32" s="8">
        <f>N32</f>
        <v>46.072213333333337</v>
      </c>
    </row>
    <row r="33" spans="1:18" x14ac:dyDescent="0.25">
      <c r="A33" s="64"/>
      <c r="B33" s="16" t="s">
        <v>1</v>
      </c>
      <c r="C33" s="15">
        <v>5.84795</v>
      </c>
      <c r="D33" s="43">
        <f t="shared" ref="D33:D56" si="0">(C33/150)*100</f>
        <v>3.8986333333333332</v>
      </c>
      <c r="E33" s="63"/>
      <c r="F33" s="64"/>
      <c r="G33" s="64"/>
      <c r="H33" s="3">
        <v>200</v>
      </c>
      <c r="I33" s="14">
        <f>MEDIAN(D37:D41)</f>
        <v>4.5694333333333326</v>
      </c>
      <c r="J33" s="69"/>
      <c r="K33" s="21" t="s">
        <v>1</v>
      </c>
      <c r="L33" s="20">
        <v>5.9811899999999998</v>
      </c>
      <c r="M33" s="20">
        <f t="shared" ref="M33:M54" si="1">(L33/15)*100</f>
        <v>39.874600000000001</v>
      </c>
      <c r="N33" s="68"/>
      <c r="O33" s="69"/>
      <c r="P33" s="69"/>
      <c r="Q33" s="4">
        <v>200</v>
      </c>
      <c r="R33" s="9">
        <f>N37</f>
        <v>52.916560000000004</v>
      </c>
    </row>
    <row r="34" spans="1:18" x14ac:dyDescent="0.25">
      <c r="A34" s="64"/>
      <c r="B34" s="16" t="s">
        <v>2</v>
      </c>
      <c r="C34" s="15">
        <v>8.1145800000000001</v>
      </c>
      <c r="D34" s="43">
        <f t="shared" si="0"/>
        <v>5.4097200000000001</v>
      </c>
      <c r="E34" s="63"/>
      <c r="F34" s="64"/>
      <c r="G34" s="64"/>
      <c r="H34" s="2">
        <v>400</v>
      </c>
      <c r="I34" s="14">
        <f>MEDIAN(D42:D46)</f>
        <v>4.7430333333333339</v>
      </c>
      <c r="J34" s="69"/>
      <c r="K34" s="21" t="s">
        <v>2</v>
      </c>
      <c r="L34" s="20">
        <v>6.5354599999999996</v>
      </c>
      <c r="M34" s="20">
        <f t="shared" si="1"/>
        <v>43.569733333333332</v>
      </c>
      <c r="N34" s="68"/>
      <c r="O34" s="69"/>
      <c r="P34" s="69"/>
      <c r="Q34" s="6">
        <v>400</v>
      </c>
      <c r="R34" s="8">
        <f>N42</f>
        <v>60.227773333333332</v>
      </c>
    </row>
    <row r="35" spans="1:18" x14ac:dyDescent="0.25">
      <c r="A35" s="64"/>
      <c r="B35" s="16" t="s">
        <v>3</v>
      </c>
      <c r="C35" s="15">
        <v>6.8624599999999996</v>
      </c>
      <c r="D35" s="43">
        <f t="shared" si="0"/>
        <v>4.5749733333333324</v>
      </c>
      <c r="E35" s="63"/>
      <c r="F35" s="64"/>
      <c r="G35" s="64"/>
      <c r="H35" s="3">
        <v>600</v>
      </c>
      <c r="I35" s="14">
        <f>MEDIAN(D47:D51)</f>
        <v>3.7194333333333338</v>
      </c>
      <c r="J35" s="69"/>
      <c r="K35" s="21" t="s">
        <v>3</v>
      </c>
      <c r="L35" s="20">
        <v>5.3645899999999997</v>
      </c>
      <c r="M35" s="20">
        <f t="shared" si="1"/>
        <v>35.763933333333334</v>
      </c>
      <c r="N35" s="68"/>
      <c r="O35" s="69"/>
      <c r="P35" s="69"/>
      <c r="Q35" s="4">
        <v>600</v>
      </c>
      <c r="R35" s="9">
        <f>N47</f>
        <v>45.269360000000006</v>
      </c>
    </row>
    <row r="36" spans="1:18" x14ac:dyDescent="0.25">
      <c r="A36" s="64"/>
      <c r="B36" s="16" t="s">
        <v>4</v>
      </c>
      <c r="C36" s="15">
        <v>9.6645699999999994</v>
      </c>
      <c r="D36" s="43">
        <f t="shared" si="0"/>
        <v>6.4430466666666657</v>
      </c>
      <c r="E36" s="63"/>
      <c r="F36" s="64"/>
      <c r="G36" s="64"/>
      <c r="H36" s="2">
        <v>720</v>
      </c>
      <c r="I36" s="14">
        <f>MEDIAN(D52:D56)</f>
        <v>4.6708200000000009</v>
      </c>
      <c r="J36" s="69"/>
      <c r="K36" s="21" t="s">
        <v>4</v>
      </c>
      <c r="L36" s="20">
        <v>6.02712</v>
      </c>
      <c r="M36" s="20">
        <f t="shared" si="1"/>
        <v>40.180799999999998</v>
      </c>
      <c r="N36" s="68"/>
      <c r="O36" s="69"/>
      <c r="P36" s="69"/>
      <c r="Q36" s="6">
        <v>720</v>
      </c>
      <c r="R36" s="8">
        <f>N52</f>
        <v>70.120311111111107</v>
      </c>
    </row>
    <row r="37" spans="1:18" x14ac:dyDescent="0.25">
      <c r="A37" s="72">
        <v>200</v>
      </c>
      <c r="B37" s="18" t="s">
        <v>0</v>
      </c>
      <c r="C37" s="17"/>
      <c r="D37" s="43">
        <f t="shared" si="0"/>
        <v>0</v>
      </c>
      <c r="E37" s="65">
        <f t="shared" ref="E37" si="2">AVERAGE(D37:D41)</f>
        <v>4.2772199999999998</v>
      </c>
      <c r="F37" s="64">
        <f t="shared" ref="F37" si="3">STDEV(D37:D41)</f>
        <v>2.6788722227791637</v>
      </c>
      <c r="G37" s="66">
        <f>(F37/E37)*100</f>
        <v>62.631153477706633</v>
      </c>
      <c r="J37" s="71">
        <v>200</v>
      </c>
      <c r="K37" s="23" t="s">
        <v>0</v>
      </c>
      <c r="L37" s="22">
        <v>10.206189999999999</v>
      </c>
      <c r="M37" s="22">
        <f t="shared" si="1"/>
        <v>68.041266666666672</v>
      </c>
      <c r="N37" s="70">
        <f t="shared" ref="N37" si="4">AVERAGE(M37:M41)</f>
        <v>52.916560000000004</v>
      </c>
      <c r="O37" s="69">
        <f t="shared" ref="O37" si="5">STDEV(M37:M41)</f>
        <v>13.412560374978508</v>
      </c>
      <c r="P37" s="71">
        <f>(O37/N37)*100</f>
        <v>25.346621879764118</v>
      </c>
    </row>
    <row r="38" spans="1:18" x14ac:dyDescent="0.25">
      <c r="A38" s="72"/>
      <c r="B38" s="18" t="s">
        <v>1</v>
      </c>
      <c r="C38" s="17">
        <v>6.8541499999999997</v>
      </c>
      <c r="D38" s="43">
        <f t="shared" si="0"/>
        <v>4.5694333333333326</v>
      </c>
      <c r="E38" s="65"/>
      <c r="F38" s="64"/>
      <c r="G38" s="66"/>
      <c r="J38" s="71"/>
      <c r="K38" s="23" t="s">
        <v>1</v>
      </c>
      <c r="L38" s="22">
        <v>7.7604100000000003</v>
      </c>
      <c r="M38" s="22">
        <f t="shared" si="1"/>
        <v>51.736066666666666</v>
      </c>
      <c r="N38" s="70"/>
      <c r="O38" s="69"/>
      <c r="P38" s="71"/>
    </row>
    <row r="39" spans="1:18" x14ac:dyDescent="0.25">
      <c r="A39" s="72"/>
      <c r="B39" s="18" t="s">
        <v>2</v>
      </c>
      <c r="C39" s="17">
        <v>5.7145700000000001</v>
      </c>
      <c r="D39" s="43">
        <f t="shared" si="0"/>
        <v>3.8097133333333333</v>
      </c>
      <c r="E39" s="65"/>
      <c r="F39" s="64"/>
      <c r="G39" s="66"/>
      <c r="J39" s="71"/>
      <c r="K39" s="23" t="s">
        <v>2</v>
      </c>
      <c r="L39" s="22">
        <v>7.2750199999999996</v>
      </c>
      <c r="M39" s="22">
        <f t="shared" si="1"/>
        <v>48.500133333333331</v>
      </c>
      <c r="N39" s="70"/>
      <c r="O39" s="69"/>
      <c r="P39" s="71"/>
    </row>
    <row r="40" spans="1:18" x14ac:dyDescent="0.25">
      <c r="A40" s="72"/>
      <c r="B40" s="18" t="s">
        <v>3</v>
      </c>
      <c r="C40" s="17">
        <v>9.2875300000000003</v>
      </c>
      <c r="D40" s="43">
        <f t="shared" si="0"/>
        <v>6.1916866666666666</v>
      </c>
      <c r="E40" s="65"/>
      <c r="F40" s="64"/>
      <c r="G40" s="66"/>
      <c r="J40" s="71"/>
      <c r="K40" s="23" t="s">
        <v>3</v>
      </c>
      <c r="L40" s="22">
        <v>5.0374699999999999</v>
      </c>
      <c r="M40" s="22">
        <f t="shared" si="1"/>
        <v>33.583133333333329</v>
      </c>
      <c r="N40" s="70"/>
      <c r="O40" s="69"/>
      <c r="P40" s="71"/>
    </row>
    <row r="41" spans="1:18" x14ac:dyDescent="0.25">
      <c r="A41" s="72"/>
      <c r="B41" s="18" t="s">
        <v>4</v>
      </c>
      <c r="C41" s="17">
        <v>10.222899999999999</v>
      </c>
      <c r="D41" s="43">
        <f t="shared" si="0"/>
        <v>6.815266666666667</v>
      </c>
      <c r="E41" s="65"/>
      <c r="F41" s="64"/>
      <c r="G41" s="66"/>
      <c r="J41" s="71"/>
      <c r="K41" s="23" t="s">
        <v>4</v>
      </c>
      <c r="L41" s="22">
        <v>9.4083299999999994</v>
      </c>
      <c r="M41" s="22">
        <f t="shared" si="1"/>
        <v>62.722199999999994</v>
      </c>
      <c r="N41" s="70"/>
      <c r="O41" s="69"/>
      <c r="P41" s="71"/>
    </row>
    <row r="42" spans="1:18" x14ac:dyDescent="0.25">
      <c r="A42" s="64">
        <v>400</v>
      </c>
      <c r="B42" s="16" t="s">
        <v>0</v>
      </c>
      <c r="C42" s="15">
        <v>7.4958</v>
      </c>
      <c r="D42" s="43">
        <f t="shared" si="0"/>
        <v>4.9972000000000003</v>
      </c>
      <c r="E42" s="63">
        <f t="shared" ref="E42" si="6">AVERAGE(D42:D46)</f>
        <v>4.5799986666666666</v>
      </c>
      <c r="F42" s="64">
        <f t="shared" ref="F42" si="7">STDEV(D42:D46)</f>
        <v>2.1031043860678404</v>
      </c>
      <c r="G42" s="64">
        <f>(F42/E42)*100</f>
        <v>45.919323107543278</v>
      </c>
      <c r="J42" s="69">
        <v>400</v>
      </c>
      <c r="K42" s="21" t="s">
        <v>0</v>
      </c>
      <c r="L42" s="20">
        <v>5.8312600000000003</v>
      </c>
      <c r="M42" s="20">
        <f t="shared" si="1"/>
        <v>38.875066666666669</v>
      </c>
      <c r="N42" s="68">
        <f t="shared" ref="N42" si="8">AVERAGE(M42:M46)</f>
        <v>60.227773333333332</v>
      </c>
      <c r="O42" s="69">
        <f t="shared" ref="O42" si="9">STDEV(M42:M46)</f>
        <v>19.307100607554268</v>
      </c>
      <c r="P42" s="69">
        <f>(O42/N42)*100</f>
        <v>32.056806252321913</v>
      </c>
    </row>
    <row r="43" spans="1:18" x14ac:dyDescent="0.25">
      <c r="A43" s="64"/>
      <c r="B43" s="16" t="s">
        <v>1</v>
      </c>
      <c r="C43" s="15">
        <v>3.84585</v>
      </c>
      <c r="D43" s="43">
        <f t="shared" si="0"/>
        <v>2.5638999999999998</v>
      </c>
      <c r="E43" s="63"/>
      <c r="F43" s="64"/>
      <c r="G43" s="64"/>
      <c r="J43" s="69"/>
      <c r="K43" s="21" t="s">
        <v>1</v>
      </c>
      <c r="L43" s="20">
        <v>8.9458199999999994</v>
      </c>
      <c r="M43" s="20">
        <f t="shared" si="1"/>
        <v>59.638799999999989</v>
      </c>
      <c r="N43" s="68"/>
      <c r="O43" s="69"/>
      <c r="P43" s="69"/>
    </row>
    <row r="44" spans="1:18" x14ac:dyDescent="0.25">
      <c r="A44" s="64"/>
      <c r="B44" s="16" t="s">
        <v>2</v>
      </c>
      <c r="C44" s="15">
        <v>11.68127</v>
      </c>
      <c r="D44" s="43">
        <f t="shared" si="0"/>
        <v>7.7875133333333331</v>
      </c>
      <c r="E44" s="63"/>
      <c r="F44" s="64"/>
      <c r="G44" s="64"/>
      <c r="J44" s="69"/>
      <c r="K44" s="21" t="s">
        <v>2</v>
      </c>
      <c r="L44" s="20">
        <v>6.7458200000000001</v>
      </c>
      <c r="M44" s="20">
        <f t="shared" si="1"/>
        <v>44.972133333333339</v>
      </c>
      <c r="N44" s="68"/>
      <c r="O44" s="69"/>
      <c r="P44" s="69"/>
    </row>
    <row r="45" spans="1:18" x14ac:dyDescent="0.25">
      <c r="A45" s="64"/>
      <c r="B45" s="16" t="s">
        <v>3</v>
      </c>
      <c r="C45" s="15">
        <v>7.1145500000000004</v>
      </c>
      <c r="D45" s="43">
        <f t="shared" si="0"/>
        <v>4.7430333333333339</v>
      </c>
      <c r="E45" s="63"/>
      <c r="F45" s="64"/>
      <c r="G45" s="64"/>
      <c r="J45" s="69"/>
      <c r="K45" s="21" t="s">
        <v>3</v>
      </c>
      <c r="L45" s="20">
        <v>12.93749</v>
      </c>
      <c r="M45" s="20">
        <f t="shared" si="1"/>
        <v>86.249933333333345</v>
      </c>
      <c r="N45" s="68"/>
      <c r="O45" s="69"/>
      <c r="P45" s="69"/>
    </row>
    <row r="46" spans="1:18" x14ac:dyDescent="0.25">
      <c r="A46" s="64"/>
      <c r="B46" s="16" t="s">
        <v>4</v>
      </c>
      <c r="C46" s="15">
        <v>4.2125199999999996</v>
      </c>
      <c r="D46" s="43">
        <f t="shared" si="0"/>
        <v>2.8083466666666665</v>
      </c>
      <c r="E46" s="63"/>
      <c r="F46" s="64"/>
      <c r="G46" s="64"/>
      <c r="J46" s="69"/>
      <c r="K46" s="21" t="s">
        <v>4</v>
      </c>
      <c r="L46" s="20">
        <v>10.71044</v>
      </c>
      <c r="M46" s="20">
        <f t="shared" si="1"/>
        <v>71.402933333333323</v>
      </c>
      <c r="N46" s="68"/>
      <c r="O46" s="69"/>
      <c r="P46" s="69"/>
    </row>
    <row r="47" spans="1:18" x14ac:dyDescent="0.25">
      <c r="A47" s="66">
        <v>600</v>
      </c>
      <c r="B47" s="18" t="s">
        <v>0</v>
      </c>
      <c r="C47" s="17">
        <v>8.7833299999999994</v>
      </c>
      <c r="D47" s="43">
        <f t="shared" si="0"/>
        <v>5.8555533333333329</v>
      </c>
      <c r="E47" s="65">
        <f t="shared" ref="E47" si="10">AVERAGE(D47:D51)</f>
        <v>5.0011039999999998</v>
      </c>
      <c r="F47" s="64">
        <f t="shared" ref="F47" si="11">STDEV(D47:D51)</f>
        <v>2.4964329317363547</v>
      </c>
      <c r="G47" s="66">
        <f>(F47/E47)*100</f>
        <v>49.917636820517124</v>
      </c>
      <c r="J47" s="71">
        <v>600</v>
      </c>
      <c r="K47" s="23" t="s">
        <v>0</v>
      </c>
      <c r="L47" s="22">
        <v>8.7187400000000004</v>
      </c>
      <c r="M47" s="22">
        <f t="shared" si="1"/>
        <v>58.124933333333338</v>
      </c>
      <c r="N47" s="70">
        <f t="shared" ref="N47" si="12">AVERAGE(M47:M51)</f>
        <v>45.269360000000006</v>
      </c>
      <c r="O47" s="69">
        <f t="shared" ref="O47" si="13">STDEV(M47:M51)</f>
        <v>11.705522324061851</v>
      </c>
      <c r="P47" s="71">
        <f>(O47/N47)*100</f>
        <v>25.857494614595499</v>
      </c>
    </row>
    <row r="48" spans="1:18" x14ac:dyDescent="0.25">
      <c r="A48" s="66"/>
      <c r="B48" s="18" t="s">
        <v>1</v>
      </c>
      <c r="C48" s="17">
        <v>5.5791500000000003</v>
      </c>
      <c r="D48" s="43">
        <f t="shared" si="0"/>
        <v>3.7194333333333338</v>
      </c>
      <c r="E48" s="65"/>
      <c r="F48" s="64"/>
      <c r="G48" s="66"/>
      <c r="J48" s="71"/>
      <c r="K48" s="23" t="s">
        <v>1</v>
      </c>
      <c r="L48" s="22">
        <v>4.1562299999999999</v>
      </c>
      <c r="M48" s="22">
        <f t="shared" si="1"/>
        <v>27.708199999999998</v>
      </c>
      <c r="N48" s="70"/>
      <c r="O48" s="69"/>
      <c r="P48" s="71"/>
    </row>
    <row r="49" spans="1:16" x14ac:dyDescent="0.25">
      <c r="A49" s="66"/>
      <c r="B49" s="18" t="s">
        <v>2</v>
      </c>
      <c r="C49" s="17">
        <v>4.9145500000000002</v>
      </c>
      <c r="D49" s="43">
        <f t="shared" si="0"/>
        <v>3.2763666666666671</v>
      </c>
      <c r="E49" s="65"/>
      <c r="F49" s="64"/>
      <c r="G49" s="66"/>
      <c r="J49" s="71"/>
      <c r="K49" s="23" t="s">
        <v>2</v>
      </c>
      <c r="L49" s="22">
        <v>6.5978899999999996</v>
      </c>
      <c r="M49" s="22">
        <f t="shared" si="1"/>
        <v>43.985933333333335</v>
      </c>
      <c r="N49" s="70"/>
      <c r="O49" s="69"/>
      <c r="P49" s="71"/>
    </row>
    <row r="50" spans="1:16" x14ac:dyDescent="0.25">
      <c r="A50" s="66"/>
      <c r="B50" s="18" t="s">
        <v>3</v>
      </c>
      <c r="C50" s="17">
        <v>13.52289</v>
      </c>
      <c r="D50" s="43">
        <f t="shared" si="0"/>
        <v>9.0152599999999996</v>
      </c>
      <c r="E50" s="65"/>
      <c r="F50" s="64"/>
      <c r="G50" s="66"/>
      <c r="J50" s="71"/>
      <c r="K50" s="23" t="s">
        <v>3</v>
      </c>
      <c r="L50" s="22">
        <v>6.4541500000000003</v>
      </c>
      <c r="M50" s="22">
        <f t="shared" si="1"/>
        <v>43.027666666666669</v>
      </c>
      <c r="N50" s="70"/>
      <c r="O50" s="69"/>
      <c r="P50" s="71"/>
    </row>
    <row r="51" spans="1:16" x14ac:dyDescent="0.25">
      <c r="A51" s="66"/>
      <c r="B51" s="18" t="s">
        <v>4</v>
      </c>
      <c r="C51" s="17">
        <v>4.7083599999999999</v>
      </c>
      <c r="D51" s="43">
        <f t="shared" si="0"/>
        <v>3.1389066666666667</v>
      </c>
      <c r="E51" s="65"/>
      <c r="F51" s="64"/>
      <c r="G51" s="66"/>
      <c r="J51" s="71"/>
      <c r="K51" s="23" t="s">
        <v>4</v>
      </c>
      <c r="L51" s="22">
        <v>8.02501</v>
      </c>
      <c r="M51" s="22">
        <f t="shared" si="1"/>
        <v>53.500066666666669</v>
      </c>
      <c r="N51" s="70"/>
      <c r="O51" s="69"/>
      <c r="P51" s="71"/>
    </row>
    <row r="52" spans="1:16" x14ac:dyDescent="0.25">
      <c r="A52" s="64">
        <v>720</v>
      </c>
      <c r="B52" s="16" t="s">
        <v>0</v>
      </c>
      <c r="C52" s="15"/>
      <c r="D52" s="43">
        <f t="shared" si="0"/>
        <v>0</v>
      </c>
      <c r="E52" s="63">
        <f t="shared" ref="E52" si="14">AVERAGE(D52:D56)</f>
        <v>3.9163786666666667</v>
      </c>
      <c r="F52" s="64">
        <f>STDEV(D52:D56)</f>
        <v>3.0861977881903662</v>
      </c>
      <c r="G52" s="64">
        <f>(F52/E52)*100</f>
        <v>78.802333759444934</v>
      </c>
      <c r="J52" s="69">
        <v>720</v>
      </c>
      <c r="K52" s="21" t="s">
        <v>0</v>
      </c>
      <c r="L52" s="20">
        <v>13.297890000000001</v>
      </c>
      <c r="M52" s="20">
        <f t="shared" si="1"/>
        <v>88.652600000000007</v>
      </c>
      <c r="N52" s="68">
        <f t="shared" ref="N52" si="15">AVERAGE(M52:M56)</f>
        <v>70.120311111111107</v>
      </c>
      <c r="O52" s="69">
        <f t="shared" ref="O52" si="16">STDEV(M52:M56)</f>
        <v>22.501095019707961</v>
      </c>
      <c r="P52" s="69">
        <f>(O52/N52)*100</f>
        <v>32.089268662903137</v>
      </c>
    </row>
    <row r="53" spans="1:16" x14ac:dyDescent="0.25">
      <c r="A53" s="64"/>
      <c r="B53" s="16" t="s">
        <v>1</v>
      </c>
      <c r="C53" s="15">
        <v>7.0062300000000004</v>
      </c>
      <c r="D53" s="43">
        <f t="shared" si="0"/>
        <v>4.6708200000000009</v>
      </c>
      <c r="E53" s="63"/>
      <c r="F53" s="64"/>
      <c r="G53" s="64"/>
      <c r="J53" s="69"/>
      <c r="K53" s="21" t="s">
        <v>1</v>
      </c>
      <c r="L53" s="20">
        <v>11.493729999999999</v>
      </c>
      <c r="M53" s="20">
        <f t="shared" si="1"/>
        <v>76.624866666666662</v>
      </c>
      <c r="N53" s="68"/>
      <c r="O53" s="69"/>
      <c r="P53" s="69"/>
    </row>
    <row r="54" spans="1:16" x14ac:dyDescent="0.25">
      <c r="A54" s="64"/>
      <c r="B54" s="16" t="s">
        <v>2</v>
      </c>
      <c r="C54" s="15">
        <v>11.304169999999999</v>
      </c>
      <c r="D54" s="43">
        <f t="shared" si="0"/>
        <v>7.5361133333333328</v>
      </c>
      <c r="E54" s="63"/>
      <c r="F54" s="64"/>
      <c r="G54" s="64"/>
      <c r="J54" s="69"/>
      <c r="K54" s="21" t="s">
        <v>2</v>
      </c>
      <c r="L54" s="20">
        <v>6.7625200000000003</v>
      </c>
      <c r="M54" s="20">
        <f t="shared" si="1"/>
        <v>45.083466666666666</v>
      </c>
      <c r="N54" s="68"/>
      <c r="O54" s="69"/>
      <c r="P54" s="69"/>
    </row>
    <row r="55" spans="1:16" x14ac:dyDescent="0.25">
      <c r="A55" s="64"/>
      <c r="B55" s="16" t="s">
        <v>3</v>
      </c>
      <c r="C55" s="15">
        <v>2.3520699999999999</v>
      </c>
      <c r="D55" s="43">
        <f t="shared" si="0"/>
        <v>1.5680466666666666</v>
      </c>
      <c r="E55" s="63"/>
      <c r="F55" s="64"/>
      <c r="G55" s="64"/>
      <c r="J55" s="69"/>
      <c r="K55" s="21" t="s">
        <v>3</v>
      </c>
      <c r="L55" s="20"/>
      <c r="M55" s="20"/>
      <c r="N55" s="68"/>
      <c r="O55" s="69"/>
      <c r="P55" s="69"/>
    </row>
    <row r="56" spans="1:16" x14ac:dyDescent="0.25">
      <c r="A56" s="64"/>
      <c r="B56" s="16" t="s">
        <v>4</v>
      </c>
      <c r="C56" s="15">
        <v>8.7103699999999993</v>
      </c>
      <c r="D56" s="43">
        <f t="shared" si="0"/>
        <v>5.8069133333333331</v>
      </c>
      <c r="E56" s="63"/>
      <c r="F56" s="64"/>
      <c r="G56" s="64"/>
      <c r="J56" s="69"/>
      <c r="K56" s="21" t="s">
        <v>4</v>
      </c>
      <c r="L56" s="20"/>
      <c r="M56" s="20"/>
      <c r="N56" s="68"/>
      <c r="O56" s="69"/>
      <c r="P56" s="69"/>
    </row>
  </sheetData>
  <mergeCells count="88">
    <mergeCell ref="J47:J51"/>
    <mergeCell ref="N47:N51"/>
    <mergeCell ref="O47:O51"/>
    <mergeCell ref="P47:P51"/>
    <mergeCell ref="J52:J56"/>
    <mergeCell ref="N52:N56"/>
    <mergeCell ref="O52:O56"/>
    <mergeCell ref="P52:P56"/>
    <mergeCell ref="J37:J41"/>
    <mergeCell ref="N37:N41"/>
    <mergeCell ref="O37:O41"/>
    <mergeCell ref="P37:P41"/>
    <mergeCell ref="J42:J46"/>
    <mergeCell ref="N42:N46"/>
    <mergeCell ref="O42:O46"/>
    <mergeCell ref="P42:P46"/>
    <mergeCell ref="Q30:R30"/>
    <mergeCell ref="J32:J36"/>
    <mergeCell ref="N32:N36"/>
    <mergeCell ref="O32:O36"/>
    <mergeCell ref="P32:P36"/>
    <mergeCell ref="J30:P30"/>
    <mergeCell ref="A47:A51"/>
    <mergeCell ref="E47:E51"/>
    <mergeCell ref="F47:F51"/>
    <mergeCell ref="G47:G51"/>
    <mergeCell ref="A52:A56"/>
    <mergeCell ref="E52:E56"/>
    <mergeCell ref="F52:F56"/>
    <mergeCell ref="G52:G56"/>
    <mergeCell ref="A37:A41"/>
    <mergeCell ref="E37:E41"/>
    <mergeCell ref="F37:F41"/>
    <mergeCell ref="G37:G41"/>
    <mergeCell ref="A42:A46"/>
    <mergeCell ref="E42:E46"/>
    <mergeCell ref="F42:F46"/>
    <mergeCell ref="G42:G46"/>
    <mergeCell ref="H30:I30"/>
    <mergeCell ref="A32:A36"/>
    <mergeCell ref="E32:E36"/>
    <mergeCell ref="F32:F36"/>
    <mergeCell ref="G32:G36"/>
    <mergeCell ref="A30:G30"/>
    <mergeCell ref="A13:A17"/>
    <mergeCell ref="A18:A22"/>
    <mergeCell ref="A23:A27"/>
    <mergeCell ref="A1:F1"/>
    <mergeCell ref="D3:D7"/>
    <mergeCell ref="E3:E7"/>
    <mergeCell ref="F3:F7"/>
    <mergeCell ref="D8:D12"/>
    <mergeCell ref="E8:E12"/>
    <mergeCell ref="F8:F12"/>
    <mergeCell ref="A3:A7"/>
    <mergeCell ref="A8:A12"/>
    <mergeCell ref="D23:D27"/>
    <mergeCell ref="E23:E27"/>
    <mergeCell ref="F23:F27"/>
    <mergeCell ref="D13:D17"/>
    <mergeCell ref="E13:E17"/>
    <mergeCell ref="F13:F17"/>
    <mergeCell ref="D18:D22"/>
    <mergeCell ref="E18:E22"/>
    <mergeCell ref="F18:F22"/>
    <mergeCell ref="G1:H1"/>
    <mergeCell ref="I1:N1"/>
    <mergeCell ref="O1:P1"/>
    <mergeCell ref="I3:I7"/>
    <mergeCell ref="L3:L7"/>
    <mergeCell ref="M3:M7"/>
    <mergeCell ref="N3:N7"/>
    <mergeCell ref="I8:I12"/>
    <mergeCell ref="L8:L12"/>
    <mergeCell ref="M8:M12"/>
    <mergeCell ref="N8:N12"/>
    <mergeCell ref="I13:I17"/>
    <mergeCell ref="L13:L17"/>
    <mergeCell ref="M13:M17"/>
    <mergeCell ref="N13:N17"/>
    <mergeCell ref="I18:I22"/>
    <mergeCell ref="I23:I27"/>
    <mergeCell ref="L18:L22"/>
    <mergeCell ref="M18:M22"/>
    <mergeCell ref="N18:N22"/>
    <mergeCell ref="L23:L27"/>
    <mergeCell ref="M23:M27"/>
    <mergeCell ref="N23:N27"/>
  </mergeCells>
  <pageMargins left="0.511811024" right="0.511811024" top="0.78740157499999996" bottom="0.78740157499999996" header="0.31496062000000002" footer="0.31496062000000002"/>
  <pageSetup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9"/>
  <sheetViews>
    <sheetView topLeftCell="A26" zoomScale="82" zoomScaleNormal="55" workbookViewId="0">
      <selection activeCell="C61" sqref="C61"/>
    </sheetView>
  </sheetViews>
  <sheetFormatPr defaultColWidth="8.7109375" defaultRowHeight="15" x14ac:dyDescent="0.25"/>
  <cols>
    <col min="1" max="1" width="15" bestFit="1" customWidth="1"/>
    <col min="2" max="2" width="33.85546875" bestFit="1" customWidth="1"/>
    <col min="3" max="3" width="31" bestFit="1" customWidth="1"/>
    <col min="4" max="4" width="24" bestFit="1" customWidth="1"/>
    <col min="5" max="5" width="25.7109375" bestFit="1" customWidth="1"/>
    <col min="6" max="6" width="31.140625" bestFit="1" customWidth="1"/>
    <col min="7" max="7" width="29.42578125" bestFit="1" customWidth="1"/>
    <col min="8" max="8" width="23" bestFit="1" customWidth="1"/>
    <col min="9" max="9" width="28.42578125" bestFit="1" customWidth="1"/>
    <col min="10" max="10" width="23.85546875" bestFit="1" customWidth="1"/>
    <col min="11" max="11" width="29.28515625" bestFit="1" customWidth="1"/>
    <col min="12" max="12" width="25.42578125" bestFit="1" customWidth="1"/>
    <col min="13" max="13" width="31" bestFit="1" customWidth="1"/>
    <col min="14" max="14" width="25.85546875" bestFit="1" customWidth="1"/>
    <col min="15" max="15" width="31.140625" bestFit="1" customWidth="1"/>
    <col min="16" max="16" width="20.85546875" bestFit="1" customWidth="1"/>
    <col min="17" max="17" width="18" bestFit="1" customWidth="1"/>
    <col min="18" max="18" width="16" bestFit="1" customWidth="1"/>
    <col min="19" max="19" width="17" bestFit="1" customWidth="1"/>
    <col min="20" max="21" width="19.42578125" bestFit="1" customWidth="1"/>
    <col min="22" max="22" width="20.42578125" bestFit="1" customWidth="1"/>
    <col min="24" max="24" width="71.140625" bestFit="1" customWidth="1"/>
    <col min="25" max="25" width="24.7109375" bestFit="1" customWidth="1"/>
    <col min="26" max="26" width="23.42578125" bestFit="1" customWidth="1"/>
    <col min="27" max="28" width="19.42578125" bestFit="1" customWidth="1"/>
    <col min="29" max="29" width="20.42578125" bestFit="1" customWidth="1"/>
    <col min="31" max="31" width="50.42578125" bestFit="1" customWidth="1"/>
    <col min="32" max="32" width="24.7109375" bestFit="1" customWidth="1"/>
    <col min="33" max="33" width="23.42578125" bestFit="1" customWidth="1"/>
    <col min="34" max="35" width="19.42578125" bestFit="1" customWidth="1"/>
    <col min="36" max="36" width="20.42578125" bestFit="1" customWidth="1"/>
  </cols>
  <sheetData>
    <row r="1" spans="1:15" ht="15.75" thickBot="1" x14ac:dyDescent="0.3">
      <c r="A1" t="s">
        <v>33</v>
      </c>
      <c r="B1" t="s">
        <v>140</v>
      </c>
      <c r="C1" t="s">
        <v>141</v>
      </c>
      <c r="D1" s="31" t="s">
        <v>136</v>
      </c>
      <c r="E1" s="31" t="s">
        <v>142</v>
      </c>
      <c r="F1" s="31" t="s">
        <v>144</v>
      </c>
      <c r="G1" s="31" t="s">
        <v>138</v>
      </c>
      <c r="H1" s="31" t="s">
        <v>158</v>
      </c>
      <c r="I1" s="31" t="s">
        <v>157</v>
      </c>
      <c r="J1" s="31" t="s">
        <v>137</v>
      </c>
      <c r="K1" s="31" t="s">
        <v>139</v>
      </c>
      <c r="L1" s="31" t="s">
        <v>143</v>
      </c>
      <c r="M1" s="31" t="s">
        <v>145</v>
      </c>
      <c r="N1" s="45" t="s">
        <v>151</v>
      </c>
      <c r="O1" s="31" t="s">
        <v>152</v>
      </c>
    </row>
    <row r="2" spans="1:15" x14ac:dyDescent="0.25">
      <c r="A2" t="s">
        <v>146</v>
      </c>
      <c r="B2" s="36">
        <v>135.95035999999999</v>
      </c>
      <c r="C2" s="36">
        <v>3.0625</v>
      </c>
      <c r="D2" s="36">
        <v>135.95035999999999</v>
      </c>
      <c r="E2" s="36">
        <v>135.95035999999999</v>
      </c>
      <c r="F2" s="36">
        <v>3.0625</v>
      </c>
      <c r="G2" s="36">
        <v>3.0625</v>
      </c>
      <c r="H2" s="38">
        <v>46.832459999999998</v>
      </c>
      <c r="I2" s="38">
        <v>7.0971999999999991</v>
      </c>
      <c r="J2" s="40">
        <v>30.625000000000004</v>
      </c>
      <c r="K2" s="37">
        <v>10.645799999999999</v>
      </c>
      <c r="L2" s="37">
        <v>46.832459999999998</v>
      </c>
      <c r="M2" s="37">
        <v>10.645799999999999</v>
      </c>
      <c r="N2" s="42">
        <v>86.184809999999999</v>
      </c>
      <c r="O2" s="42">
        <v>6.4083333333333341</v>
      </c>
    </row>
    <row r="3" spans="1:15" x14ac:dyDescent="0.25">
      <c r="A3" t="s">
        <v>146</v>
      </c>
      <c r="B3" s="36">
        <v>82.204790000000003</v>
      </c>
      <c r="C3" s="36">
        <v>3.8986333333333332</v>
      </c>
      <c r="D3" s="36">
        <v>82.204790000000003</v>
      </c>
      <c r="E3" s="36">
        <v>82.204790000000003</v>
      </c>
      <c r="F3" s="36">
        <v>3.8986333333333332</v>
      </c>
      <c r="G3" s="36">
        <v>3.8986333333333332</v>
      </c>
      <c r="H3" s="38">
        <v>64.235029999999995</v>
      </c>
      <c r="I3" s="38">
        <v>3.9874599999999996</v>
      </c>
      <c r="J3" s="41">
        <v>38.986333333333334</v>
      </c>
      <c r="K3" s="37">
        <v>5.9811899999999998</v>
      </c>
      <c r="L3" s="37">
        <v>64.235029999999995</v>
      </c>
      <c r="M3" s="37">
        <v>5.9811899999999998</v>
      </c>
      <c r="N3" s="42">
        <v>152.32115999999999</v>
      </c>
      <c r="O3" s="42">
        <v>4.8194266666666667</v>
      </c>
    </row>
    <row r="4" spans="1:15" x14ac:dyDescent="0.25">
      <c r="A4" t="s">
        <v>146</v>
      </c>
      <c r="B4" s="36">
        <v>91.089860000000002</v>
      </c>
      <c r="C4" s="36">
        <v>5.4097200000000001</v>
      </c>
      <c r="D4" s="36">
        <v>91.089860000000002</v>
      </c>
      <c r="E4" s="36">
        <v>91.089860000000002</v>
      </c>
      <c r="F4" s="36">
        <v>5.4097200000000001</v>
      </c>
      <c r="G4" s="36">
        <v>5.4097200000000001</v>
      </c>
      <c r="H4" s="38">
        <v>84.411600000000007</v>
      </c>
      <c r="I4" s="38">
        <v>4.3569733333333334</v>
      </c>
      <c r="J4" s="40">
        <v>54.097200000000001</v>
      </c>
      <c r="K4" s="37">
        <v>6.5354599999999996</v>
      </c>
      <c r="L4" s="37">
        <v>84.411600000000007</v>
      </c>
      <c r="M4" s="37">
        <v>6.5354599999999996</v>
      </c>
      <c r="N4" s="42">
        <v>151.09683000000001</v>
      </c>
      <c r="O4" s="42">
        <v>3.3597133333333336</v>
      </c>
    </row>
    <row r="5" spans="1:15" x14ac:dyDescent="0.25">
      <c r="A5" t="s">
        <v>146</v>
      </c>
      <c r="B5" s="36">
        <v>95.029380000000003</v>
      </c>
      <c r="C5" s="36">
        <v>4.5749733333333324</v>
      </c>
      <c r="D5" s="36">
        <v>95.029380000000003</v>
      </c>
      <c r="E5" s="36">
        <v>95.029380000000003</v>
      </c>
      <c r="F5" s="36">
        <v>4.5749733333333324</v>
      </c>
      <c r="G5" s="36">
        <v>4.5749733333333324</v>
      </c>
      <c r="H5" s="38">
        <v>86.796490000000006</v>
      </c>
      <c r="I5" s="38">
        <v>3.5763933333333329</v>
      </c>
      <c r="J5" s="41">
        <v>45.749733333333332</v>
      </c>
      <c r="K5" s="37">
        <v>5.3645899999999997</v>
      </c>
      <c r="L5" s="37">
        <v>86.796490000000006</v>
      </c>
      <c r="M5" s="37">
        <v>5.3645899999999997</v>
      </c>
      <c r="N5" s="42">
        <v>162.32101</v>
      </c>
      <c r="O5" s="42">
        <v>4.5916466666666667</v>
      </c>
    </row>
    <row r="6" spans="1:15" x14ac:dyDescent="0.25">
      <c r="A6" t="s">
        <v>146</v>
      </c>
      <c r="B6" s="36">
        <v>133.51451</v>
      </c>
      <c r="C6" s="36">
        <v>6.4430466666666657</v>
      </c>
      <c r="D6" s="36">
        <v>133.51451</v>
      </c>
      <c r="E6" s="36">
        <v>133.51451</v>
      </c>
      <c r="F6" s="36">
        <v>6.4430466666666657</v>
      </c>
      <c r="G6" s="36">
        <v>6.4430466666666657</v>
      </c>
      <c r="H6" s="38">
        <v>80.496539999999996</v>
      </c>
      <c r="I6" s="38">
        <v>4.0180800000000003</v>
      </c>
      <c r="J6" s="40">
        <v>64.430466666666661</v>
      </c>
      <c r="K6" s="37">
        <v>6.02712</v>
      </c>
      <c r="L6" s="37">
        <v>80.496539999999996</v>
      </c>
      <c r="M6" s="37">
        <v>6.02712</v>
      </c>
      <c r="N6" s="42">
        <v>158.33417</v>
      </c>
      <c r="O6" s="42">
        <v>4.8902933333333332</v>
      </c>
    </row>
    <row r="7" spans="1:15" x14ac:dyDescent="0.25">
      <c r="A7" t="s">
        <v>147</v>
      </c>
      <c r="B7" s="36">
        <v>69.626620000000003</v>
      </c>
      <c r="C7" s="36">
        <v>3.8597000000000001</v>
      </c>
      <c r="D7" s="36">
        <v>50.94885</v>
      </c>
      <c r="E7" s="36">
        <v>72.84</v>
      </c>
      <c r="F7" s="36">
        <v>0</v>
      </c>
      <c r="G7" s="36">
        <v>2.6180600000000003</v>
      </c>
      <c r="H7" s="39">
        <v>2.4965899999999999</v>
      </c>
      <c r="I7" s="38">
        <v>0.69724666666666668</v>
      </c>
      <c r="J7" s="41">
        <v>26.180600000000005</v>
      </c>
      <c r="K7" s="37">
        <v>10.179130000000001</v>
      </c>
      <c r="L7" s="37">
        <v>37.826569999999997</v>
      </c>
      <c r="M7" s="37">
        <v>10.206189999999999</v>
      </c>
      <c r="N7" s="42">
        <v>8.4408899999999996</v>
      </c>
      <c r="O7" s="42">
        <v>1.2082933333333334</v>
      </c>
    </row>
    <row r="8" spans="1:15" x14ac:dyDescent="0.25">
      <c r="A8" t="s">
        <v>147</v>
      </c>
      <c r="B8" s="36">
        <v>55.90502</v>
      </c>
      <c r="C8" s="36">
        <v>7.2680400000000009</v>
      </c>
      <c r="D8" s="36">
        <v>84.838859999999997</v>
      </c>
      <c r="E8" s="36">
        <v>77.940299999999993</v>
      </c>
      <c r="F8" s="36">
        <v>4.5694333333333326</v>
      </c>
      <c r="G8" s="36">
        <v>6.4444400000000002</v>
      </c>
      <c r="H8" s="39">
        <v>0.76032</v>
      </c>
      <c r="I8" s="38">
        <v>1.1361533333333333</v>
      </c>
      <c r="J8" s="40">
        <v>64.444400000000002</v>
      </c>
      <c r="K8" s="37">
        <v>8.1812500000000004</v>
      </c>
      <c r="L8" s="37">
        <v>49.48818</v>
      </c>
      <c r="M8" s="37">
        <v>7.7604100000000003</v>
      </c>
      <c r="N8" s="42">
        <v>10.26117</v>
      </c>
      <c r="O8" s="42">
        <v>1.6958466666666665</v>
      </c>
    </row>
    <row r="9" spans="1:15" x14ac:dyDescent="0.25">
      <c r="A9" t="s">
        <v>147</v>
      </c>
      <c r="B9" s="36">
        <v>47.919359999999998</v>
      </c>
      <c r="C9" s="36">
        <v>7.4680666666666662</v>
      </c>
      <c r="D9" s="36">
        <v>103.20527</v>
      </c>
      <c r="E9" s="36">
        <v>63.367440000000002</v>
      </c>
      <c r="F9" s="36">
        <v>3.8097133333333333</v>
      </c>
      <c r="G9" s="36">
        <v>3.1333199999999999</v>
      </c>
      <c r="H9" s="39">
        <v>1.8371</v>
      </c>
      <c r="I9" s="38">
        <v>1.9111</v>
      </c>
      <c r="J9" s="41">
        <v>31.333200000000001</v>
      </c>
      <c r="K9" s="37">
        <v>5.3603899999999998</v>
      </c>
      <c r="L9" s="37">
        <v>64.124179999999996</v>
      </c>
      <c r="M9" s="37">
        <v>7.2750199999999996</v>
      </c>
      <c r="N9" s="42">
        <v>7.4440299999999997</v>
      </c>
      <c r="O9" s="42">
        <v>2.9666666666666668</v>
      </c>
    </row>
    <row r="10" spans="1:15" x14ac:dyDescent="0.25">
      <c r="A10" t="s">
        <v>147</v>
      </c>
      <c r="B10" s="36">
        <v>48.978540000000002</v>
      </c>
      <c r="C10" s="36">
        <v>3.3722133333333333</v>
      </c>
      <c r="D10" s="36">
        <v>96.712530000000001</v>
      </c>
      <c r="E10" s="36">
        <v>54.309370000000001</v>
      </c>
      <c r="F10" s="36">
        <v>6.1916866666666666</v>
      </c>
      <c r="G10" s="36">
        <v>6.0666666666666664</v>
      </c>
      <c r="H10" s="39">
        <v>3.8765800000000001</v>
      </c>
      <c r="I10" s="38">
        <v>2.2389066666666664</v>
      </c>
      <c r="J10" s="40">
        <v>60.666666666666671</v>
      </c>
      <c r="K10" s="37">
        <v>6.3167099999999996</v>
      </c>
      <c r="L10" s="37">
        <v>78.545419999999993</v>
      </c>
      <c r="M10" s="37">
        <v>5.0374699999999999</v>
      </c>
      <c r="N10" s="42">
        <v>8.97044</v>
      </c>
      <c r="O10" s="42">
        <v>1.6708733333333332</v>
      </c>
    </row>
    <row r="11" spans="1:15" x14ac:dyDescent="0.25">
      <c r="A11" t="s">
        <v>147</v>
      </c>
      <c r="B11" s="36">
        <v>61.083739999999999</v>
      </c>
      <c r="C11" s="36">
        <v>4.2759399999999994</v>
      </c>
      <c r="D11" s="36">
        <v>92.668940000000006</v>
      </c>
      <c r="E11" s="36">
        <v>95.728729999999999</v>
      </c>
      <c r="F11" s="36">
        <v>6.815266666666667</v>
      </c>
      <c r="G11" s="36">
        <v>2.9597199999999999</v>
      </c>
      <c r="H11" s="39">
        <v>3.2584</v>
      </c>
      <c r="I11" s="38">
        <v>1.5055333333333336</v>
      </c>
      <c r="J11" s="41">
        <v>29.597200000000001</v>
      </c>
      <c r="K11" s="37">
        <v>6.4041499999999996</v>
      </c>
      <c r="L11" s="37">
        <v>65.206090000000003</v>
      </c>
      <c r="M11" s="37">
        <v>9.4083299999999994</v>
      </c>
      <c r="N11" s="42">
        <v>4.4753100000000003</v>
      </c>
      <c r="O11" s="42">
        <v>1.6069466666666663</v>
      </c>
    </row>
    <row r="12" spans="1:15" x14ac:dyDescent="0.25">
      <c r="A12" t="s">
        <v>148</v>
      </c>
      <c r="B12" s="36">
        <v>58.520870000000002</v>
      </c>
      <c r="C12" s="36">
        <v>5.6985933333333332</v>
      </c>
      <c r="D12" s="36">
        <v>91.547219999999996</v>
      </c>
      <c r="E12" s="36">
        <v>86.045310000000001</v>
      </c>
      <c r="F12" s="36">
        <v>4.9972000000000003</v>
      </c>
      <c r="G12" s="36">
        <v>4.1041466666666668</v>
      </c>
      <c r="H12" s="38">
        <v>4.5898599999999998</v>
      </c>
      <c r="I12" s="38">
        <v>2.4972066666666666</v>
      </c>
      <c r="J12" s="40">
        <v>41.041466666666672</v>
      </c>
      <c r="K12" s="37">
        <v>5.2479199999999997</v>
      </c>
      <c r="L12" s="37">
        <v>90.969409999999996</v>
      </c>
      <c r="M12" s="37">
        <v>5.8312600000000003</v>
      </c>
      <c r="N12" s="42">
        <v>5.4680200000000001</v>
      </c>
      <c r="O12" s="42">
        <v>2.1666600000000003</v>
      </c>
    </row>
    <row r="13" spans="1:15" x14ac:dyDescent="0.25">
      <c r="A13" t="s">
        <v>148</v>
      </c>
      <c r="B13" s="36">
        <v>51.019129999999997</v>
      </c>
      <c r="C13" s="36">
        <v>4.3944600000000005</v>
      </c>
      <c r="D13" s="36">
        <v>88.202539999999999</v>
      </c>
      <c r="E13" s="36">
        <v>52.205460000000002</v>
      </c>
      <c r="F13" s="36">
        <v>2.5638999999999998</v>
      </c>
      <c r="G13" s="36">
        <v>4.95974</v>
      </c>
      <c r="H13" s="38">
        <v>1.4067700000000001</v>
      </c>
      <c r="I13" s="38">
        <v>2.34998</v>
      </c>
      <c r="J13" s="41">
        <v>49.5974</v>
      </c>
      <c r="K13" s="37">
        <v>6.6333299999999999</v>
      </c>
      <c r="L13" s="37">
        <v>73.252610000000004</v>
      </c>
      <c r="M13" s="37">
        <v>8.9458199999999994</v>
      </c>
      <c r="N13" s="42">
        <v>0</v>
      </c>
      <c r="O13" s="42">
        <v>0</v>
      </c>
    </row>
    <row r="14" spans="1:15" x14ac:dyDescent="0.25">
      <c r="A14" t="s">
        <v>148</v>
      </c>
      <c r="B14" s="36">
        <v>69.852450000000005</v>
      </c>
      <c r="C14" s="36">
        <v>3.2222200000000001</v>
      </c>
      <c r="D14" s="36">
        <v>73.642099999999999</v>
      </c>
      <c r="E14" s="36">
        <v>69.937600000000003</v>
      </c>
      <c r="F14" s="36">
        <v>7.7875133333333331</v>
      </c>
      <c r="G14" s="36">
        <v>2.6666933333333334</v>
      </c>
      <c r="H14" s="38">
        <v>2.4755500000000001</v>
      </c>
      <c r="I14" s="38">
        <v>1.5971933333333335</v>
      </c>
      <c r="J14" s="40">
        <v>26.666933333333336</v>
      </c>
      <c r="K14" s="37">
        <v>4.5208000000000004</v>
      </c>
      <c r="L14" s="37">
        <v>58.738100000000003</v>
      </c>
      <c r="M14" s="37">
        <v>6.7458200000000001</v>
      </c>
      <c r="N14" s="42">
        <v>6.62113</v>
      </c>
      <c r="O14" s="42">
        <v>1.6514066666666667</v>
      </c>
    </row>
    <row r="15" spans="1:15" x14ac:dyDescent="0.25">
      <c r="A15" t="s">
        <v>148</v>
      </c>
      <c r="B15" s="36">
        <v>52.221609999999998</v>
      </c>
      <c r="C15" s="36">
        <v>2.3499866666666662</v>
      </c>
      <c r="D15" s="36">
        <v>81.787909999999997</v>
      </c>
      <c r="E15" s="36">
        <v>88.084980000000002</v>
      </c>
      <c r="F15" s="36">
        <v>4.7430333333333339</v>
      </c>
      <c r="G15" s="36">
        <v>2.24166</v>
      </c>
      <c r="H15" s="38">
        <v>0</v>
      </c>
      <c r="I15" s="38">
        <v>0</v>
      </c>
      <c r="J15" s="41">
        <v>22.416599999999999</v>
      </c>
      <c r="K15" s="37">
        <v>4.5958399999999999</v>
      </c>
      <c r="L15" s="37">
        <v>44.132629999999999</v>
      </c>
      <c r="M15" s="37">
        <v>12.93749</v>
      </c>
      <c r="N15" s="42">
        <v>0</v>
      </c>
      <c r="O15" s="42">
        <v>0</v>
      </c>
    </row>
    <row r="16" spans="1:15" x14ac:dyDescent="0.25">
      <c r="A16" t="s">
        <v>148</v>
      </c>
      <c r="B16" s="36">
        <v>46.314839999999997</v>
      </c>
      <c r="C16" s="36">
        <v>1.7194266666666669</v>
      </c>
      <c r="D16" s="36">
        <v>37.006529999999998</v>
      </c>
      <c r="E16" s="36">
        <v>123.16976</v>
      </c>
      <c r="F16" s="36">
        <v>2.8083466666666665</v>
      </c>
      <c r="G16" s="36">
        <v>6.4555599999999993</v>
      </c>
      <c r="H16" s="38">
        <v>0</v>
      </c>
      <c r="I16" s="38">
        <v>0</v>
      </c>
      <c r="J16" s="40">
        <v>64.555599999999984</v>
      </c>
      <c r="K16" s="37">
        <v>9.7791599999999992</v>
      </c>
      <c r="L16" s="37">
        <v>65.246359999999996</v>
      </c>
      <c r="M16" s="37">
        <v>10.71044</v>
      </c>
      <c r="N16" s="42">
        <v>0</v>
      </c>
      <c r="O16" s="42">
        <v>0</v>
      </c>
    </row>
    <row r="17" spans="1:13" x14ac:dyDescent="0.25">
      <c r="A17" t="s">
        <v>149</v>
      </c>
      <c r="B17" s="36">
        <v>38.933639999999997</v>
      </c>
      <c r="C17" s="36">
        <v>6.4610866666666666</v>
      </c>
      <c r="D17" s="36">
        <v>57.505980000000001</v>
      </c>
      <c r="E17" s="36">
        <v>95.463459999999998</v>
      </c>
      <c r="F17" s="36">
        <v>5.8555533333333329</v>
      </c>
      <c r="G17" s="36">
        <v>2.6569266666666667</v>
      </c>
      <c r="H17" s="38"/>
      <c r="I17" s="38"/>
      <c r="J17" s="41">
        <v>26.569266666666667</v>
      </c>
      <c r="K17" s="37">
        <v>11.5396</v>
      </c>
      <c r="L17" s="37">
        <v>76.345269999999999</v>
      </c>
      <c r="M17" s="37">
        <v>8.7187400000000004</v>
      </c>
    </row>
    <row r="18" spans="1:13" x14ac:dyDescent="0.25">
      <c r="A18" t="s">
        <v>149</v>
      </c>
      <c r="B18" s="36">
        <v>53.437130000000003</v>
      </c>
      <c r="C18" s="36">
        <v>4.4611133333333335</v>
      </c>
      <c r="D18" s="36">
        <v>80.821470000000005</v>
      </c>
      <c r="E18" s="36">
        <v>52.787289999999999</v>
      </c>
      <c r="F18" s="36">
        <v>3.7194333333333338</v>
      </c>
      <c r="G18" s="36">
        <v>3.5666333333333333</v>
      </c>
      <c r="H18" s="38"/>
      <c r="I18" s="38"/>
      <c r="J18" s="40">
        <v>35.666333333333334</v>
      </c>
      <c r="K18" s="37">
        <v>6.2958299999999996</v>
      </c>
      <c r="L18" s="37">
        <v>87.557630000000003</v>
      </c>
      <c r="M18" s="37">
        <v>4.1562299999999999</v>
      </c>
    </row>
    <row r="19" spans="1:13" x14ac:dyDescent="0.25">
      <c r="A19" t="s">
        <v>149</v>
      </c>
      <c r="B19" s="36">
        <v>37.322960000000002</v>
      </c>
      <c r="C19" s="36">
        <v>3.787773333333333</v>
      </c>
      <c r="D19" s="36">
        <v>64.731189999999998</v>
      </c>
      <c r="E19" s="36">
        <v>109.93635999999999</v>
      </c>
      <c r="F19" s="36">
        <v>3.2763666666666671</v>
      </c>
      <c r="G19" s="36">
        <v>7.4458133333333345</v>
      </c>
      <c r="H19" s="38"/>
      <c r="I19" s="38"/>
      <c r="J19" s="41">
        <v>74.458133333333336</v>
      </c>
      <c r="K19" s="37">
        <v>3.7250100000000002</v>
      </c>
      <c r="L19" s="37">
        <v>57.063670000000002</v>
      </c>
      <c r="M19" s="37">
        <v>6.5978899999999996</v>
      </c>
    </row>
    <row r="20" spans="1:13" x14ac:dyDescent="0.25">
      <c r="A20" t="s">
        <v>149</v>
      </c>
      <c r="B20" s="36">
        <v>44.36721</v>
      </c>
      <c r="C20" s="36">
        <v>2.4985866666666667</v>
      </c>
      <c r="D20" s="36">
        <v>88.093410000000006</v>
      </c>
      <c r="E20" s="36">
        <v>84.701120000000003</v>
      </c>
      <c r="F20" s="36">
        <v>9.0152599999999996</v>
      </c>
      <c r="G20" s="36">
        <v>5.2069400000000003</v>
      </c>
      <c r="H20" s="38"/>
      <c r="I20" s="38"/>
      <c r="J20" s="40">
        <v>52.069400000000002</v>
      </c>
      <c r="K20" s="37">
        <v>10.541639999999999</v>
      </c>
      <c r="L20" s="37">
        <v>43.555889999999998</v>
      </c>
      <c r="M20" s="37">
        <v>6.4541500000000003</v>
      </c>
    </row>
    <row r="21" spans="1:13" x14ac:dyDescent="0.25">
      <c r="A21" t="s">
        <v>149</v>
      </c>
      <c r="B21" s="36">
        <v>26.238569999999999</v>
      </c>
      <c r="C21" s="36">
        <v>9.8944333333333336</v>
      </c>
      <c r="D21" s="36">
        <v>49.97213</v>
      </c>
      <c r="E21" s="36">
        <v>52.28154</v>
      </c>
      <c r="F21" s="36">
        <v>3.1389066666666667</v>
      </c>
      <c r="G21" s="36">
        <v>3.6819333333333337</v>
      </c>
      <c r="H21" s="38"/>
      <c r="I21" s="38"/>
      <c r="J21" s="41">
        <v>36.819333333333333</v>
      </c>
      <c r="K21" s="37">
        <v>5.8729100000000001</v>
      </c>
      <c r="L21" s="37">
        <v>68.424850000000006</v>
      </c>
      <c r="M21" s="37">
        <v>8.02501</v>
      </c>
    </row>
    <row r="22" spans="1:13" x14ac:dyDescent="0.25">
      <c r="A22" t="s">
        <v>150</v>
      </c>
      <c r="B22" s="36">
        <v>33.972560000000001</v>
      </c>
      <c r="C22" s="36">
        <v>6.5680399999999999</v>
      </c>
      <c r="D22" s="36">
        <v>84.031989999999993</v>
      </c>
      <c r="E22" s="36">
        <v>79.010000000000005</v>
      </c>
      <c r="F22" s="36">
        <v>0</v>
      </c>
      <c r="G22" s="36">
        <v>7.7610866666666665</v>
      </c>
      <c r="H22" s="38"/>
      <c r="I22" s="38"/>
      <c r="J22" s="40">
        <v>77.610866666666666</v>
      </c>
      <c r="K22" s="37">
        <v>4.0958300000000003</v>
      </c>
      <c r="L22" s="37">
        <v>25.238990000000001</v>
      </c>
      <c r="M22" s="37">
        <v>13.297890000000001</v>
      </c>
    </row>
    <row r="23" spans="1:13" x14ac:dyDescent="0.25">
      <c r="A23" t="s">
        <v>150</v>
      </c>
      <c r="B23" s="36">
        <v>42.488990000000001</v>
      </c>
      <c r="C23" s="36">
        <v>6.3027799999999994</v>
      </c>
      <c r="D23" s="36">
        <v>76.178219999999996</v>
      </c>
      <c r="E23" s="36">
        <v>58.95299</v>
      </c>
      <c r="F23" s="36">
        <v>4.6708200000000009</v>
      </c>
      <c r="G23" s="36">
        <v>4.3319799999999997</v>
      </c>
      <c r="H23" s="38"/>
      <c r="I23" s="38"/>
      <c r="J23" s="41">
        <v>43.319800000000001</v>
      </c>
      <c r="K23" s="37">
        <v>4.9562600000000003</v>
      </c>
      <c r="L23" s="37">
        <v>50.80791</v>
      </c>
      <c r="M23" s="37">
        <v>11.493729999999999</v>
      </c>
    </row>
    <row r="24" spans="1:13" x14ac:dyDescent="0.25">
      <c r="A24" t="s">
        <v>150</v>
      </c>
      <c r="B24" s="36">
        <v>24.26219</v>
      </c>
      <c r="C24" s="36">
        <v>2.390273333333333</v>
      </c>
      <c r="D24" s="36">
        <v>81.662670000000006</v>
      </c>
      <c r="E24" s="36">
        <v>71.438490000000002</v>
      </c>
      <c r="F24" s="36">
        <v>7.5361133333333328</v>
      </c>
      <c r="G24" s="36">
        <v>3.6194333333333337</v>
      </c>
      <c r="H24" s="38"/>
      <c r="I24" s="38"/>
      <c r="J24" s="40">
        <v>36.194333333333333</v>
      </c>
      <c r="K24" s="37">
        <v>4.13544</v>
      </c>
      <c r="L24" s="37">
        <v>41.448770000000003</v>
      </c>
      <c r="M24" s="37">
        <v>6.7625200000000003</v>
      </c>
    </row>
    <row r="25" spans="1:13" x14ac:dyDescent="0.25">
      <c r="A25" t="s">
        <v>150</v>
      </c>
      <c r="B25" s="36">
        <v>39.714530000000003</v>
      </c>
      <c r="C25" s="36">
        <v>5.0041466666666663</v>
      </c>
      <c r="D25" s="36">
        <v>98.423230000000004</v>
      </c>
      <c r="E25" s="36">
        <v>100.93885</v>
      </c>
      <c r="F25" s="36">
        <v>1.5680466666666666</v>
      </c>
      <c r="G25" s="36">
        <v>3.3069333333333333</v>
      </c>
      <c r="H25" s="38"/>
      <c r="I25" s="38"/>
      <c r="J25" s="41">
        <v>33.069333333333333</v>
      </c>
      <c r="K25" s="37">
        <v>5.4291499999999999</v>
      </c>
      <c r="L25" s="37">
        <v>0</v>
      </c>
      <c r="M25" s="37">
        <v>0</v>
      </c>
    </row>
    <row r="26" spans="1:13" x14ac:dyDescent="0.25">
      <c r="A26" t="s">
        <v>150</v>
      </c>
      <c r="B26" s="36">
        <v>17.237670000000001</v>
      </c>
      <c r="C26" s="36">
        <v>3.8513933333333332</v>
      </c>
      <c r="D26" s="36">
        <v>66.65222</v>
      </c>
      <c r="E26" s="36">
        <v>84.709819999999993</v>
      </c>
      <c r="F26" s="36">
        <v>5.8069133333333331</v>
      </c>
      <c r="G26" s="36">
        <v>3.501373333333333</v>
      </c>
      <c r="H26" s="38"/>
      <c r="I26" s="38"/>
      <c r="J26" s="40">
        <v>35.013733333333334</v>
      </c>
      <c r="K26" s="37">
        <v>4.8187300000000004</v>
      </c>
      <c r="L26" s="37">
        <v>0</v>
      </c>
      <c r="M26" s="37">
        <v>0</v>
      </c>
    </row>
    <row r="30" spans="1:13" ht="15.75" x14ac:dyDescent="0.25">
      <c r="B30" s="46" t="s">
        <v>159</v>
      </c>
    </row>
    <row r="32" spans="1:13" x14ac:dyDescent="0.25">
      <c r="B32" s="47" t="s">
        <v>160</v>
      </c>
    </row>
    <row r="33" spans="2:12" ht="15.75" thickBot="1" x14ac:dyDescent="0.3"/>
    <row r="34" spans="2:12" x14ac:dyDescent="0.25">
      <c r="B34" s="73" t="s">
        <v>161</v>
      </c>
      <c r="C34" s="74"/>
      <c r="D34" s="75"/>
    </row>
    <row r="35" spans="2:12" x14ac:dyDescent="0.25">
      <c r="B35" s="48" t="s">
        <v>165</v>
      </c>
      <c r="C35" s="49" t="s">
        <v>164</v>
      </c>
      <c r="D35" s="50"/>
    </row>
    <row r="36" spans="2:12" x14ac:dyDescent="0.25">
      <c r="B36" s="51" t="s">
        <v>162</v>
      </c>
      <c r="C36" s="52">
        <v>8.8393846153846312</v>
      </c>
      <c r="D36" s="53"/>
    </row>
    <row r="37" spans="2:12" x14ac:dyDescent="0.25">
      <c r="B37" s="51" t="s">
        <v>163</v>
      </c>
      <c r="C37" s="52">
        <v>4</v>
      </c>
      <c r="D37" s="53"/>
    </row>
    <row r="38" spans="2:12" ht="15.75" thickBot="1" x14ac:dyDescent="0.3">
      <c r="B38" s="54" t="s">
        <v>155</v>
      </c>
      <c r="C38" s="55">
        <v>6.5241907487514947E-2</v>
      </c>
      <c r="D38" s="56"/>
    </row>
    <row r="39" spans="2:12" ht="15.75" thickBot="1" x14ac:dyDescent="0.3"/>
    <row r="40" spans="2:12" x14ac:dyDescent="0.25">
      <c r="B40" s="73" t="s">
        <v>166</v>
      </c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2:12" x14ac:dyDescent="0.25">
      <c r="B41" s="48"/>
      <c r="C41" s="49" t="s">
        <v>177</v>
      </c>
      <c r="D41" s="49" t="s">
        <v>178</v>
      </c>
      <c r="E41" s="49" t="s">
        <v>153</v>
      </c>
      <c r="F41" s="49" t="s">
        <v>154</v>
      </c>
      <c r="G41" s="49" t="s">
        <v>179</v>
      </c>
      <c r="H41" s="49"/>
      <c r="I41" s="49"/>
      <c r="J41" s="49"/>
      <c r="K41" s="49"/>
      <c r="L41" s="50"/>
    </row>
    <row r="42" spans="2:12" x14ac:dyDescent="0.25">
      <c r="B42" s="57" t="s">
        <v>167</v>
      </c>
      <c r="C42" s="52">
        <v>12.600000000000001</v>
      </c>
      <c r="D42" s="52">
        <v>3.109074128840676</v>
      </c>
      <c r="E42" s="52">
        <v>4.1463130352088253</v>
      </c>
      <c r="F42" s="52">
        <v>21.053686964791176</v>
      </c>
      <c r="G42" s="52">
        <v>5.5299000000000001E-2</v>
      </c>
      <c r="H42" s="52"/>
      <c r="I42" s="52"/>
      <c r="J42" s="52"/>
      <c r="K42" s="52"/>
      <c r="L42" s="53"/>
    </row>
    <row r="43" spans="2:12" x14ac:dyDescent="0.25">
      <c r="B43" s="57" t="s">
        <v>168</v>
      </c>
      <c r="C43" s="52">
        <v>7.8000000000000007</v>
      </c>
      <c r="D43" s="52">
        <v>1.92466493690137</v>
      </c>
      <c r="E43" s="52">
        <v>-0.65368696479117538</v>
      </c>
      <c r="F43" s="52">
        <v>16.253686964791179</v>
      </c>
      <c r="G43" s="52">
        <v>0.48030699999999998</v>
      </c>
      <c r="H43" s="52"/>
      <c r="I43" s="52"/>
      <c r="J43" s="52"/>
      <c r="K43" s="52"/>
      <c r="L43" s="53"/>
    </row>
    <row r="44" spans="2:12" x14ac:dyDescent="0.25">
      <c r="B44" s="57" t="s">
        <v>169</v>
      </c>
      <c r="C44" s="52">
        <v>3.6000000000000014</v>
      </c>
      <c r="D44" s="52">
        <v>0.88830689395447893</v>
      </c>
      <c r="E44" s="52">
        <v>-4.8536869647911747</v>
      </c>
      <c r="F44" s="52">
        <v>12.053686964791178</v>
      </c>
      <c r="G44" s="52">
        <v>0.76987000000000005</v>
      </c>
      <c r="H44" s="52"/>
      <c r="I44" s="52"/>
      <c r="J44" s="52"/>
      <c r="K44" s="52"/>
      <c r="L44" s="53"/>
    </row>
    <row r="45" spans="2:12" x14ac:dyDescent="0.25">
      <c r="B45" s="57" t="s">
        <v>170</v>
      </c>
      <c r="C45" s="52">
        <v>9.0000000000000018</v>
      </c>
      <c r="D45" s="52">
        <v>2.2207672348861971</v>
      </c>
      <c r="E45" s="52">
        <v>0.54631303520882568</v>
      </c>
      <c r="F45" s="52">
        <v>17.453686964791178</v>
      </c>
      <c r="G45" s="52">
        <v>0.30463600000000002</v>
      </c>
      <c r="H45" s="52"/>
      <c r="I45" s="52"/>
      <c r="J45" s="52"/>
      <c r="K45" s="52"/>
      <c r="L45" s="53"/>
    </row>
    <row r="46" spans="2:12" x14ac:dyDescent="0.25">
      <c r="B46" s="57" t="s">
        <v>171</v>
      </c>
      <c r="C46" s="52">
        <v>-4.8000000000000007</v>
      </c>
      <c r="D46" s="52">
        <v>1.1844091919393049</v>
      </c>
      <c r="E46" s="52">
        <v>-13.253686964791177</v>
      </c>
      <c r="F46" s="52">
        <v>3.6536869647911754</v>
      </c>
      <c r="G46" s="52">
        <v>0.76987000000000005</v>
      </c>
      <c r="H46" s="52"/>
      <c r="I46" s="52"/>
      <c r="J46" s="52"/>
      <c r="K46" s="52"/>
      <c r="L46" s="53"/>
    </row>
    <row r="47" spans="2:12" x14ac:dyDescent="0.25">
      <c r="B47" s="57" t="s">
        <v>172</v>
      </c>
      <c r="C47" s="52">
        <v>-9</v>
      </c>
      <c r="D47" s="52">
        <v>2.2207672348861967</v>
      </c>
      <c r="E47" s="52">
        <v>-17.453686964791174</v>
      </c>
      <c r="F47" s="52">
        <v>-0.54631303520882391</v>
      </c>
      <c r="G47" s="52">
        <v>0.30463600000000002</v>
      </c>
      <c r="H47" s="52"/>
      <c r="I47" s="52"/>
      <c r="J47" s="52"/>
      <c r="K47" s="52"/>
      <c r="L47" s="53"/>
    </row>
    <row r="48" spans="2:12" x14ac:dyDescent="0.25">
      <c r="B48" s="57" t="s">
        <v>173</v>
      </c>
      <c r="C48" s="52">
        <v>-3.5999999999999996</v>
      </c>
      <c r="D48" s="52">
        <v>0.88830689395447848</v>
      </c>
      <c r="E48" s="52">
        <v>-12.053686964791176</v>
      </c>
      <c r="F48" s="52">
        <v>4.8536869647911765</v>
      </c>
      <c r="G48" s="52">
        <v>0.76987000000000005</v>
      </c>
      <c r="H48" s="52"/>
      <c r="I48" s="52"/>
      <c r="J48" s="52"/>
      <c r="K48" s="52"/>
      <c r="L48" s="53"/>
    </row>
    <row r="49" spans="2:12" x14ac:dyDescent="0.25">
      <c r="B49" s="57" t="s">
        <v>174</v>
      </c>
      <c r="C49" s="52">
        <v>-4.1999999999999993</v>
      </c>
      <c r="D49" s="52">
        <v>1.0363580429468915</v>
      </c>
      <c r="E49" s="52">
        <v>-12.653686964791175</v>
      </c>
      <c r="F49" s="52">
        <v>4.2536869647911768</v>
      </c>
      <c r="G49" s="52">
        <v>0.76987000000000005</v>
      </c>
      <c r="H49" s="52"/>
      <c r="I49" s="52"/>
      <c r="J49" s="52"/>
      <c r="K49" s="52"/>
      <c r="L49" s="53"/>
    </row>
    <row r="50" spans="2:12" x14ac:dyDescent="0.25">
      <c r="B50" s="57" t="s">
        <v>175</v>
      </c>
      <c r="C50" s="52">
        <v>1.2000000000000011</v>
      </c>
      <c r="D50" s="52">
        <v>0.29610229798482646</v>
      </c>
      <c r="E50" s="52">
        <v>-7.253686964791175</v>
      </c>
      <c r="F50" s="52">
        <v>9.6536869647911772</v>
      </c>
      <c r="G50" s="52">
        <v>0.77020500000000003</v>
      </c>
      <c r="H50" s="52"/>
      <c r="I50" s="52"/>
      <c r="J50" s="52"/>
      <c r="K50" s="52"/>
      <c r="L50" s="53"/>
    </row>
    <row r="51" spans="2:12" ht="15.75" thickBot="1" x14ac:dyDescent="0.3">
      <c r="B51" s="58" t="s">
        <v>176</v>
      </c>
      <c r="C51" s="55">
        <v>5.4</v>
      </c>
      <c r="D51" s="55">
        <v>1.3324603409317179</v>
      </c>
      <c r="E51" s="55">
        <v>-3.0536869647911757</v>
      </c>
      <c r="F51" s="55">
        <v>13.853686964791176</v>
      </c>
      <c r="G51" s="55">
        <v>0.76987000000000005</v>
      </c>
      <c r="H51" s="55"/>
      <c r="I51" s="55"/>
      <c r="J51" s="55"/>
      <c r="K51" s="55"/>
      <c r="L51" s="56"/>
    </row>
    <row r="52" spans="2:12" ht="15.75" thickBot="1" x14ac:dyDescent="0.3"/>
    <row r="53" spans="2:12" x14ac:dyDescent="0.25">
      <c r="B53" s="73" t="s">
        <v>180</v>
      </c>
      <c r="C53" s="74"/>
      <c r="D53" s="74"/>
      <c r="E53" s="74"/>
      <c r="F53" s="75"/>
    </row>
    <row r="54" spans="2:12" x14ac:dyDescent="0.25">
      <c r="B54" s="48" t="s">
        <v>182</v>
      </c>
      <c r="C54" s="49" t="s">
        <v>181</v>
      </c>
      <c r="D54" s="49" t="s">
        <v>156</v>
      </c>
      <c r="E54" s="49"/>
      <c r="F54" s="50"/>
    </row>
    <row r="55" spans="2:12" x14ac:dyDescent="0.25">
      <c r="B55" s="51" t="s">
        <v>146</v>
      </c>
      <c r="C55" s="52">
        <v>19.600000000000001</v>
      </c>
      <c r="D55" s="52" t="s">
        <v>106</v>
      </c>
      <c r="E55" s="52"/>
      <c r="F55" s="53"/>
    </row>
    <row r="56" spans="2:12" x14ac:dyDescent="0.25">
      <c r="B56" s="51" t="s">
        <v>147</v>
      </c>
      <c r="C56" s="52">
        <v>16</v>
      </c>
      <c r="D56" s="52" t="s">
        <v>106</v>
      </c>
      <c r="E56" s="52"/>
      <c r="F56" s="53"/>
    </row>
    <row r="57" spans="2:12" x14ac:dyDescent="0.25">
      <c r="B57" s="51" t="s">
        <v>150</v>
      </c>
      <c r="C57" s="52">
        <v>11.8</v>
      </c>
      <c r="D57" s="52" t="s">
        <v>106</v>
      </c>
      <c r="E57" s="52"/>
      <c r="F57" s="53"/>
    </row>
    <row r="58" spans="2:12" x14ac:dyDescent="0.25">
      <c r="B58" s="51" t="s">
        <v>148</v>
      </c>
      <c r="C58" s="52">
        <v>10.6</v>
      </c>
      <c r="D58" s="52" t="s">
        <v>106</v>
      </c>
      <c r="E58" s="52"/>
      <c r="F58" s="53"/>
    </row>
    <row r="59" spans="2:12" ht="15.75" thickBot="1" x14ac:dyDescent="0.3">
      <c r="B59" s="54" t="s">
        <v>149</v>
      </c>
      <c r="C59" s="55">
        <v>7</v>
      </c>
      <c r="D59" s="55" t="s">
        <v>106</v>
      </c>
      <c r="E59" s="55"/>
      <c r="F59" s="56"/>
    </row>
  </sheetData>
  <mergeCells count="3">
    <mergeCell ref="B34:D34"/>
    <mergeCell ref="B40:L40"/>
    <mergeCell ref="B53:F53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G3:AF49"/>
  <sheetViews>
    <sheetView topLeftCell="E21" zoomScale="90" workbookViewId="0">
      <selection activeCell="I22" sqref="I22"/>
    </sheetView>
  </sheetViews>
  <sheetFormatPr defaultColWidth="8.7109375" defaultRowHeight="15" x14ac:dyDescent="0.25"/>
  <cols>
    <col min="8" max="8" width="11" bestFit="1" customWidth="1"/>
    <col min="9" max="10" width="9.7109375" bestFit="1" customWidth="1"/>
    <col min="14" max="15" width="9.7109375" bestFit="1" customWidth="1"/>
    <col min="19" max="20" width="9.7109375" bestFit="1" customWidth="1"/>
    <col min="24" max="24" width="13.7109375" bestFit="1" customWidth="1"/>
    <col min="26" max="26" width="11" bestFit="1" customWidth="1"/>
    <col min="28" max="28" width="9.7109375" bestFit="1" customWidth="1"/>
    <col min="29" max="29" width="11" bestFit="1" customWidth="1"/>
    <col min="30" max="31" width="9.7109375" bestFit="1" customWidth="1"/>
    <col min="32" max="32" width="11" bestFit="1" customWidth="1"/>
  </cols>
  <sheetData>
    <row r="3" spans="7:32" x14ac:dyDescent="0.25">
      <c r="G3" s="76" t="s">
        <v>105</v>
      </c>
      <c r="H3" s="76"/>
      <c r="I3" s="76"/>
      <c r="J3" s="76"/>
      <c r="K3" s="76"/>
      <c r="L3" s="76"/>
      <c r="M3" s="76"/>
      <c r="N3" s="76"/>
      <c r="O3" s="76"/>
    </row>
    <row r="4" spans="7:32" x14ac:dyDescent="0.25">
      <c r="W4" s="32"/>
      <c r="X4" t="s">
        <v>119</v>
      </c>
      <c r="Y4" t="s">
        <v>120</v>
      </c>
      <c r="Z4" t="s">
        <v>121</v>
      </c>
      <c r="AA4" t="s">
        <v>122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</row>
    <row r="5" spans="7:32" x14ac:dyDescent="0.25">
      <c r="G5" s="25" t="s">
        <v>49</v>
      </c>
      <c r="W5" s="32" t="s">
        <v>34</v>
      </c>
      <c r="X5" s="34">
        <v>10755778</v>
      </c>
      <c r="Y5" t="s">
        <v>123</v>
      </c>
      <c r="Z5" s="34">
        <v>25252810</v>
      </c>
      <c r="AA5">
        <v>5</v>
      </c>
      <c r="AB5" s="34">
        <v>8220479</v>
      </c>
      <c r="AC5" s="34">
        <v>13595036</v>
      </c>
      <c r="AD5" s="34">
        <v>9108986</v>
      </c>
      <c r="AE5" s="34">
        <v>9502938</v>
      </c>
      <c r="AF5" s="34">
        <v>13351451</v>
      </c>
    </row>
    <row r="6" spans="7:32" x14ac:dyDescent="0.25">
      <c r="G6" s="24"/>
      <c r="W6" s="32" t="s">
        <v>37</v>
      </c>
      <c r="X6" s="34">
        <v>4005990</v>
      </c>
      <c r="Y6" t="s">
        <v>124</v>
      </c>
      <c r="Z6" s="34">
        <v>9966088</v>
      </c>
      <c r="AA6">
        <v>5</v>
      </c>
      <c r="AB6" s="34">
        <v>2623857</v>
      </c>
      <c r="AC6" s="34">
        <v>5343713</v>
      </c>
      <c r="AD6" s="34">
        <v>3732296</v>
      </c>
      <c r="AE6" s="34">
        <v>3893364</v>
      </c>
      <c r="AF6" s="34">
        <v>4436721</v>
      </c>
    </row>
    <row r="7" spans="7:32" x14ac:dyDescent="0.25">
      <c r="G7" s="25" t="s">
        <v>50</v>
      </c>
      <c r="W7" s="32" t="s">
        <v>38</v>
      </c>
      <c r="X7" s="34">
        <v>3153519</v>
      </c>
      <c r="Y7" t="s">
        <v>113</v>
      </c>
      <c r="Z7" s="34">
        <v>10608295</v>
      </c>
      <c r="AA7">
        <v>5</v>
      </c>
      <c r="AB7" s="34">
        <v>1723767</v>
      </c>
      <c r="AC7" s="34">
        <v>4248899</v>
      </c>
      <c r="AD7" s="34">
        <v>2426219</v>
      </c>
      <c r="AE7" s="34">
        <v>3397256</v>
      </c>
      <c r="AF7" s="34">
        <v>3971453</v>
      </c>
    </row>
    <row r="8" spans="7:32" x14ac:dyDescent="0.25">
      <c r="G8" s="26" t="s">
        <v>31</v>
      </c>
      <c r="W8" s="32" t="s">
        <v>35</v>
      </c>
      <c r="X8" s="34">
        <v>5670266</v>
      </c>
      <c r="Y8" t="s">
        <v>125</v>
      </c>
      <c r="Z8" s="34">
        <v>8995377</v>
      </c>
      <c r="AA8">
        <v>5</v>
      </c>
      <c r="AB8" s="34">
        <v>4791936</v>
      </c>
      <c r="AC8" s="34">
        <v>6962662</v>
      </c>
      <c r="AD8" s="34">
        <v>4897854</v>
      </c>
      <c r="AE8" s="34">
        <v>5590502</v>
      </c>
      <c r="AF8" s="34">
        <v>6108374</v>
      </c>
    </row>
    <row r="9" spans="7:32" x14ac:dyDescent="0.25">
      <c r="W9" s="32" t="s">
        <v>36</v>
      </c>
      <c r="X9" s="34">
        <v>5558578</v>
      </c>
      <c r="Y9" t="s">
        <v>126</v>
      </c>
      <c r="Z9" s="34">
        <v>9086733</v>
      </c>
      <c r="AA9">
        <v>5</v>
      </c>
      <c r="AB9" s="34">
        <v>4631484</v>
      </c>
      <c r="AC9" s="34">
        <v>6985245</v>
      </c>
      <c r="AD9" s="34">
        <v>5101913</v>
      </c>
      <c r="AE9" s="34">
        <v>5222161</v>
      </c>
      <c r="AF9" s="34">
        <v>5852087</v>
      </c>
    </row>
    <row r="10" spans="7:32" x14ac:dyDescent="0.25">
      <c r="G10" s="25" t="s">
        <v>29</v>
      </c>
      <c r="W10" s="32" t="s">
        <v>39</v>
      </c>
      <c r="X10" s="34">
        <v>10755778</v>
      </c>
      <c r="Y10" t="s">
        <v>123</v>
      </c>
      <c r="Z10" s="34">
        <v>25252810</v>
      </c>
      <c r="AA10">
        <v>5</v>
      </c>
      <c r="AB10" s="34">
        <v>8220479</v>
      </c>
      <c r="AC10" s="34">
        <v>13595036</v>
      </c>
      <c r="AD10" s="34">
        <v>9108986</v>
      </c>
      <c r="AE10" s="34">
        <v>9502938</v>
      </c>
      <c r="AF10" s="34">
        <v>13351451</v>
      </c>
    </row>
    <row r="11" spans="7:32" x14ac:dyDescent="0.25">
      <c r="G11" s="24"/>
      <c r="W11" s="32" t="s">
        <v>42</v>
      </c>
      <c r="X11" s="34">
        <v>6822484</v>
      </c>
      <c r="Y11" t="s">
        <v>127</v>
      </c>
      <c r="Z11" s="34">
        <v>15919298</v>
      </c>
      <c r="AA11">
        <v>5</v>
      </c>
      <c r="AB11" s="34">
        <v>4997213</v>
      </c>
      <c r="AC11" s="34">
        <v>8809341</v>
      </c>
      <c r="AD11" s="34">
        <v>5750598</v>
      </c>
      <c r="AE11" s="34">
        <v>6473119</v>
      </c>
      <c r="AF11" s="34">
        <v>8082147</v>
      </c>
    </row>
    <row r="12" spans="7:32" x14ac:dyDescent="0.25">
      <c r="G12" s="25" t="s">
        <v>51</v>
      </c>
      <c r="W12" s="32" t="s">
        <v>43</v>
      </c>
      <c r="X12" s="34">
        <v>8138967</v>
      </c>
      <c r="Y12" t="s">
        <v>128</v>
      </c>
      <c r="Z12" s="34">
        <v>11635616</v>
      </c>
      <c r="AA12">
        <v>5</v>
      </c>
      <c r="AB12" s="34">
        <v>6665222</v>
      </c>
      <c r="AC12" s="34">
        <v>9842323</v>
      </c>
      <c r="AD12" s="34">
        <v>7617822</v>
      </c>
      <c r="AE12" s="34">
        <v>8166267</v>
      </c>
      <c r="AF12" s="34">
        <v>8403199</v>
      </c>
    </row>
    <row r="13" spans="7:32" x14ac:dyDescent="0.25">
      <c r="G13" s="26" t="s">
        <v>30</v>
      </c>
      <c r="W13" s="32" t="s">
        <v>40</v>
      </c>
      <c r="X13" s="34">
        <v>8567489</v>
      </c>
      <c r="Y13" t="s">
        <v>129</v>
      </c>
      <c r="Z13" s="34">
        <v>20522288</v>
      </c>
      <c r="AA13">
        <v>5</v>
      </c>
      <c r="AB13" s="34">
        <v>5094885</v>
      </c>
      <c r="AC13" s="34">
        <v>10320527</v>
      </c>
      <c r="AD13" s="34">
        <v>8483886</v>
      </c>
      <c r="AE13" s="34">
        <v>9266894</v>
      </c>
      <c r="AF13" s="34">
        <v>9671253</v>
      </c>
    </row>
    <row r="14" spans="7:32" x14ac:dyDescent="0.25">
      <c r="W14" s="32" t="s">
        <v>41</v>
      </c>
      <c r="X14" s="34">
        <v>7443726</v>
      </c>
      <c r="Y14" t="s">
        <v>130</v>
      </c>
      <c r="Z14" s="34">
        <v>22011120</v>
      </c>
      <c r="AA14">
        <v>5</v>
      </c>
      <c r="AB14" s="34">
        <v>3700653</v>
      </c>
      <c r="AC14" s="34">
        <v>9154722</v>
      </c>
      <c r="AD14" s="34">
        <v>7364210</v>
      </c>
      <c r="AE14" s="34">
        <v>8178791</v>
      </c>
      <c r="AF14" s="34">
        <v>8820254</v>
      </c>
    </row>
    <row r="15" spans="7:32" x14ac:dyDescent="0.25">
      <c r="G15" s="25" t="s">
        <v>52</v>
      </c>
      <c r="W15" s="32" t="s">
        <v>44</v>
      </c>
      <c r="X15" s="34">
        <v>10755778</v>
      </c>
      <c r="Y15" t="s">
        <v>123</v>
      </c>
      <c r="Z15" s="34">
        <v>25252810</v>
      </c>
      <c r="AA15">
        <v>5</v>
      </c>
      <c r="AB15" s="34">
        <v>8220479</v>
      </c>
      <c r="AC15" s="34">
        <v>13595036</v>
      </c>
      <c r="AD15" s="34">
        <v>9108986</v>
      </c>
      <c r="AE15" s="34">
        <v>9502938</v>
      </c>
      <c r="AF15" s="34">
        <v>13351451</v>
      </c>
    </row>
    <row r="16" spans="7:32" x14ac:dyDescent="0.25">
      <c r="G16" s="25" t="s">
        <v>32</v>
      </c>
      <c r="W16" s="32" t="s">
        <v>47</v>
      </c>
      <c r="X16" s="34">
        <v>7903395</v>
      </c>
      <c r="Y16" t="s">
        <v>131</v>
      </c>
      <c r="Z16" s="34">
        <v>25795267</v>
      </c>
      <c r="AA16">
        <v>5</v>
      </c>
      <c r="AB16" s="34">
        <v>5228154</v>
      </c>
      <c r="AC16" s="34">
        <v>10993636</v>
      </c>
      <c r="AD16" s="34">
        <v>5278729</v>
      </c>
      <c r="AE16" s="34">
        <v>8470112</v>
      </c>
      <c r="AF16" s="34">
        <v>9546346</v>
      </c>
    </row>
    <row r="17" spans="7:32" x14ac:dyDescent="0.25">
      <c r="G17" s="24"/>
      <c r="W17" s="32" t="s">
        <v>48</v>
      </c>
      <c r="X17" s="34">
        <v>7901003</v>
      </c>
      <c r="Y17" t="s">
        <v>132</v>
      </c>
      <c r="Z17" s="34">
        <v>15596264</v>
      </c>
      <c r="AA17">
        <v>5</v>
      </c>
      <c r="AB17" s="34">
        <v>5895299</v>
      </c>
      <c r="AC17" s="34">
        <v>10093885</v>
      </c>
      <c r="AD17" s="34">
        <v>7143849</v>
      </c>
      <c r="AE17" s="34">
        <v>7901000</v>
      </c>
      <c r="AF17" s="34">
        <v>8470982</v>
      </c>
    </row>
    <row r="18" spans="7:32" x14ac:dyDescent="0.25">
      <c r="G18" s="27"/>
      <c r="H18" s="29" t="s">
        <v>53</v>
      </c>
      <c r="I18" s="29" t="s">
        <v>54</v>
      </c>
      <c r="J18" s="29" t="s">
        <v>55</v>
      </c>
      <c r="K18" s="29" t="s">
        <v>56</v>
      </c>
      <c r="L18" s="29" t="s">
        <v>57</v>
      </c>
      <c r="M18" s="29" t="s">
        <v>39</v>
      </c>
      <c r="N18" s="29" t="s">
        <v>42</v>
      </c>
      <c r="O18" s="29" t="s">
        <v>43</v>
      </c>
      <c r="P18" s="29" t="s">
        <v>40</v>
      </c>
      <c r="Q18" s="29" t="s">
        <v>41</v>
      </c>
      <c r="R18" s="29" t="s">
        <v>44</v>
      </c>
      <c r="S18" s="29" t="s">
        <v>47</v>
      </c>
      <c r="T18" s="29" t="s">
        <v>48</v>
      </c>
      <c r="U18" s="29" t="s">
        <v>45</v>
      </c>
      <c r="W18" s="32" t="s">
        <v>45</v>
      </c>
      <c r="X18" s="34">
        <v>7283717</v>
      </c>
      <c r="Y18" t="s">
        <v>133</v>
      </c>
      <c r="Z18" s="34">
        <v>15676580</v>
      </c>
      <c r="AA18">
        <v>5</v>
      </c>
      <c r="AB18" s="34">
        <v>5430937</v>
      </c>
      <c r="AC18" s="34">
        <v>9572873</v>
      </c>
      <c r="AD18" s="34">
        <v>6336744</v>
      </c>
      <c r="AE18" s="34">
        <v>7284000</v>
      </c>
      <c r="AF18" s="34">
        <v>7794030</v>
      </c>
    </row>
    <row r="19" spans="7:32" x14ac:dyDescent="0.25">
      <c r="G19" s="30" t="s">
        <v>54</v>
      </c>
      <c r="H19" s="28" t="s">
        <v>58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W19" s="32" t="s">
        <v>46</v>
      </c>
      <c r="X19" s="34">
        <v>8388862</v>
      </c>
      <c r="Y19" t="s">
        <v>134</v>
      </c>
      <c r="Z19" s="34">
        <v>26285558</v>
      </c>
      <c r="AA19">
        <v>5</v>
      </c>
      <c r="AB19" s="34">
        <v>5220546</v>
      </c>
      <c r="AC19" s="34">
        <v>12316976</v>
      </c>
      <c r="AD19" s="34">
        <v>6993760</v>
      </c>
      <c r="AE19" s="34">
        <v>8604531</v>
      </c>
      <c r="AF19" s="34">
        <v>8808498</v>
      </c>
    </row>
    <row r="20" spans="7:32" ht="17.25" x14ac:dyDescent="0.25">
      <c r="G20" s="30" t="s">
        <v>55</v>
      </c>
      <c r="H20" s="28" t="s">
        <v>59</v>
      </c>
      <c r="I20" s="28" t="s">
        <v>61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W20" s="24"/>
    </row>
    <row r="21" spans="7:32" ht="17.25" x14ac:dyDescent="0.25">
      <c r="G21" s="30" t="s">
        <v>56</v>
      </c>
      <c r="H21" s="28" t="s">
        <v>62</v>
      </c>
      <c r="I21" s="28" t="s">
        <v>63</v>
      </c>
      <c r="J21" s="28" t="s">
        <v>64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W21" s="32"/>
    </row>
    <row r="22" spans="7:32" ht="17.25" x14ac:dyDescent="0.25">
      <c r="G22" s="30" t="s">
        <v>57</v>
      </c>
      <c r="H22" s="28" t="s">
        <v>65</v>
      </c>
      <c r="I22" s="28" t="s">
        <v>61</v>
      </c>
      <c r="J22" s="28" t="s">
        <v>66</v>
      </c>
      <c r="K22" s="28" t="s">
        <v>61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W22" s="32"/>
    </row>
    <row r="23" spans="7:32" ht="17.25" x14ac:dyDescent="0.25">
      <c r="G23" s="30" t="s">
        <v>39</v>
      </c>
      <c r="H23" s="28" t="s">
        <v>61</v>
      </c>
      <c r="I23" s="29" t="s">
        <v>60</v>
      </c>
      <c r="J23" s="29" t="s">
        <v>59</v>
      </c>
      <c r="K23" s="28" t="s">
        <v>62</v>
      </c>
      <c r="L23" s="28" t="s">
        <v>65</v>
      </c>
      <c r="M23" s="28"/>
      <c r="N23" s="28"/>
      <c r="O23" s="28"/>
      <c r="P23" s="28"/>
      <c r="Q23" s="28"/>
      <c r="R23" s="28"/>
      <c r="S23" s="28"/>
      <c r="T23" s="28"/>
      <c r="U23" s="28"/>
      <c r="W23" s="24"/>
    </row>
    <row r="24" spans="7:32" ht="17.25" x14ac:dyDescent="0.25">
      <c r="G24" s="30" t="s">
        <v>42</v>
      </c>
      <c r="H24" s="28" t="s">
        <v>67</v>
      </c>
      <c r="I24" s="28" t="s">
        <v>68</v>
      </c>
      <c r="J24" s="28" t="s">
        <v>69</v>
      </c>
      <c r="K24" s="28" t="s">
        <v>61</v>
      </c>
      <c r="L24" s="28" t="s">
        <v>61</v>
      </c>
      <c r="M24" s="28" t="s">
        <v>70</v>
      </c>
      <c r="N24" s="28"/>
      <c r="O24" s="28"/>
      <c r="P24" s="28"/>
      <c r="Q24" s="28"/>
      <c r="R24" s="28"/>
      <c r="S24" s="28"/>
      <c r="T24" s="28"/>
      <c r="U24" s="28"/>
      <c r="W24" s="32"/>
    </row>
    <row r="25" spans="7:32" ht="17.25" x14ac:dyDescent="0.25">
      <c r="G25" s="30" t="s">
        <v>43</v>
      </c>
      <c r="H25" s="28" t="s">
        <v>71</v>
      </c>
      <c r="I25" s="28" t="s">
        <v>72</v>
      </c>
      <c r="J25" s="28" t="s">
        <v>73</v>
      </c>
      <c r="K25" s="28" t="s">
        <v>74</v>
      </c>
      <c r="L25" s="28" t="s">
        <v>75</v>
      </c>
      <c r="M25" s="28" t="s">
        <v>76</v>
      </c>
      <c r="N25" s="28" t="s">
        <v>63</v>
      </c>
      <c r="O25" s="28"/>
      <c r="P25" s="28"/>
      <c r="Q25" s="28"/>
      <c r="R25" s="28"/>
      <c r="S25" s="28"/>
      <c r="T25" s="28"/>
      <c r="U25" s="28"/>
    </row>
    <row r="26" spans="7:32" ht="17.25" x14ac:dyDescent="0.25">
      <c r="G26" s="30" t="s">
        <v>40</v>
      </c>
      <c r="H26" s="28" t="s">
        <v>61</v>
      </c>
      <c r="I26" s="28" t="s">
        <v>77</v>
      </c>
      <c r="J26" s="28" t="s">
        <v>78</v>
      </c>
      <c r="K26" s="28" t="s">
        <v>79</v>
      </c>
      <c r="L26" s="28" t="s">
        <v>80</v>
      </c>
      <c r="M26" s="28" t="s">
        <v>81</v>
      </c>
      <c r="N26" s="28" t="s">
        <v>82</v>
      </c>
      <c r="O26" s="28" t="s">
        <v>61</v>
      </c>
      <c r="P26" s="28"/>
      <c r="Q26" s="28"/>
      <c r="R26" s="28"/>
      <c r="S26" s="28"/>
      <c r="T26" s="28"/>
      <c r="U26" s="28"/>
    </row>
    <row r="27" spans="7:32" ht="17.25" x14ac:dyDescent="0.25">
      <c r="G27" s="30" t="s">
        <v>41</v>
      </c>
      <c r="H27" s="28" t="s">
        <v>83</v>
      </c>
      <c r="I27" s="28" t="s">
        <v>84</v>
      </c>
      <c r="J27" s="28" t="s">
        <v>85</v>
      </c>
      <c r="K27" s="28" t="s">
        <v>86</v>
      </c>
      <c r="L27" s="28" t="s">
        <v>87</v>
      </c>
      <c r="M27" s="28" t="s">
        <v>88</v>
      </c>
      <c r="N27" s="28" t="s">
        <v>89</v>
      </c>
      <c r="O27" s="28" t="s">
        <v>61</v>
      </c>
      <c r="P27" s="28" t="s">
        <v>63</v>
      </c>
      <c r="Q27" s="28"/>
      <c r="R27" s="28"/>
      <c r="S27" s="28"/>
      <c r="T27" s="28"/>
      <c r="U27" s="28"/>
    </row>
    <row r="28" spans="7:32" ht="17.25" x14ac:dyDescent="0.25">
      <c r="G28" s="30" t="s">
        <v>44</v>
      </c>
      <c r="H28" s="28" t="s">
        <v>61</v>
      </c>
      <c r="I28" s="29" t="s">
        <v>60</v>
      </c>
      <c r="J28" s="29" t="s">
        <v>59</v>
      </c>
      <c r="K28" s="28" t="s">
        <v>62</v>
      </c>
      <c r="L28" s="28" t="s">
        <v>65</v>
      </c>
      <c r="M28" s="28" t="s">
        <v>81</v>
      </c>
      <c r="N28" s="28" t="s">
        <v>67</v>
      </c>
      <c r="O28" s="28" t="s">
        <v>71</v>
      </c>
      <c r="P28" s="28" t="s">
        <v>61</v>
      </c>
      <c r="Q28" s="28" t="s">
        <v>83</v>
      </c>
      <c r="R28" s="28"/>
      <c r="S28" s="28"/>
      <c r="T28" s="28"/>
      <c r="U28" s="28"/>
    </row>
    <row r="29" spans="7:32" ht="17.25" x14ac:dyDescent="0.25">
      <c r="G29" s="30" t="s">
        <v>47</v>
      </c>
      <c r="H29" s="28" t="s">
        <v>86</v>
      </c>
      <c r="I29" s="28" t="s">
        <v>85</v>
      </c>
      <c r="J29" s="28" t="s">
        <v>90</v>
      </c>
      <c r="K29" s="28" t="s">
        <v>91</v>
      </c>
      <c r="L29" s="28" t="s">
        <v>92</v>
      </c>
      <c r="M29" s="28" t="s">
        <v>93</v>
      </c>
      <c r="N29" s="28" t="s">
        <v>89</v>
      </c>
      <c r="O29" s="28" t="s">
        <v>61</v>
      </c>
      <c r="P29" s="28" t="s">
        <v>61</v>
      </c>
      <c r="Q29" s="28" t="s">
        <v>61</v>
      </c>
      <c r="R29" s="28" t="s">
        <v>86</v>
      </c>
      <c r="S29" s="28"/>
      <c r="T29" s="28"/>
      <c r="U29" s="28"/>
    </row>
    <row r="30" spans="7:32" ht="17.25" x14ac:dyDescent="0.25">
      <c r="G30" s="30" t="s">
        <v>48</v>
      </c>
      <c r="H30" s="28" t="s">
        <v>87</v>
      </c>
      <c r="I30" s="28" t="s">
        <v>94</v>
      </c>
      <c r="J30" s="28" t="s">
        <v>95</v>
      </c>
      <c r="K30" s="28" t="s">
        <v>96</v>
      </c>
      <c r="L30" s="28" t="s">
        <v>83</v>
      </c>
      <c r="M30" s="28" t="s">
        <v>97</v>
      </c>
      <c r="N30" s="28" t="s">
        <v>89</v>
      </c>
      <c r="O30" s="28" t="s">
        <v>61</v>
      </c>
      <c r="P30" s="28" t="s">
        <v>61</v>
      </c>
      <c r="Q30" s="28" t="s">
        <v>61</v>
      </c>
      <c r="R30" s="28" t="s">
        <v>87</v>
      </c>
      <c r="S30" s="28" t="s">
        <v>61</v>
      </c>
      <c r="T30" s="28"/>
      <c r="U30" s="28"/>
    </row>
    <row r="31" spans="7:32" ht="17.25" x14ac:dyDescent="0.25">
      <c r="G31" s="30" t="s">
        <v>45</v>
      </c>
      <c r="H31" s="28" t="s">
        <v>98</v>
      </c>
      <c r="I31" s="28" t="s">
        <v>99</v>
      </c>
      <c r="J31" s="28" t="s">
        <v>100</v>
      </c>
      <c r="K31" s="28" t="s">
        <v>66</v>
      </c>
      <c r="L31" s="28" t="s">
        <v>64</v>
      </c>
      <c r="M31" s="28" t="s">
        <v>101</v>
      </c>
      <c r="N31" s="28" t="s">
        <v>89</v>
      </c>
      <c r="O31" s="28" t="s">
        <v>61</v>
      </c>
      <c r="P31" s="28" t="s">
        <v>63</v>
      </c>
      <c r="Q31" s="28" t="s">
        <v>61</v>
      </c>
      <c r="R31" s="28" t="s">
        <v>98</v>
      </c>
      <c r="S31" s="28" t="s">
        <v>61</v>
      </c>
      <c r="T31" s="28" t="s">
        <v>61</v>
      </c>
      <c r="U31" s="28"/>
    </row>
    <row r="32" spans="7:32" ht="17.25" x14ac:dyDescent="0.25">
      <c r="G32" s="30" t="s">
        <v>46</v>
      </c>
      <c r="H32" s="28" t="s">
        <v>64</v>
      </c>
      <c r="I32" s="28" t="s">
        <v>102</v>
      </c>
      <c r="J32" s="28" t="s">
        <v>103</v>
      </c>
      <c r="K32" s="28" t="s">
        <v>92</v>
      </c>
      <c r="L32" s="28" t="s">
        <v>98</v>
      </c>
      <c r="M32" s="28" t="s">
        <v>104</v>
      </c>
      <c r="N32" s="28" t="s">
        <v>63</v>
      </c>
      <c r="O32" s="28" t="s">
        <v>61</v>
      </c>
      <c r="P32" s="28" t="s">
        <v>61</v>
      </c>
      <c r="Q32" s="28" t="s">
        <v>61</v>
      </c>
      <c r="R32" s="28" t="s">
        <v>64</v>
      </c>
      <c r="S32" s="28" t="s">
        <v>61</v>
      </c>
      <c r="T32" s="28" t="s">
        <v>61</v>
      </c>
      <c r="U32" s="28" t="s">
        <v>61</v>
      </c>
    </row>
    <row r="33" spans="7:9" x14ac:dyDescent="0.25">
      <c r="G33" s="25"/>
    </row>
    <row r="34" spans="7:9" x14ac:dyDescent="0.25">
      <c r="G34" s="32"/>
      <c r="H34" t="s">
        <v>28</v>
      </c>
      <c r="I34" t="s">
        <v>107</v>
      </c>
    </row>
    <row r="35" spans="7:9" x14ac:dyDescent="0.25">
      <c r="G35" s="32" t="s">
        <v>34</v>
      </c>
      <c r="H35" s="34">
        <v>10755778</v>
      </c>
      <c r="I35" t="s">
        <v>106</v>
      </c>
    </row>
    <row r="36" spans="7:9" x14ac:dyDescent="0.25">
      <c r="G36" s="32" t="s">
        <v>39</v>
      </c>
      <c r="H36" s="34">
        <v>10755778</v>
      </c>
      <c r="I36" t="s">
        <v>106</v>
      </c>
    </row>
    <row r="37" spans="7:9" x14ac:dyDescent="0.25">
      <c r="G37" s="32" t="s">
        <v>44</v>
      </c>
      <c r="H37" s="34">
        <v>10755778</v>
      </c>
      <c r="I37" t="s">
        <v>106</v>
      </c>
    </row>
    <row r="38" spans="7:9" x14ac:dyDescent="0.25">
      <c r="G38" s="32" t="s">
        <v>40</v>
      </c>
      <c r="H38" s="34">
        <v>8567489</v>
      </c>
      <c r="I38" t="s">
        <v>108</v>
      </c>
    </row>
    <row r="39" spans="7:9" x14ac:dyDescent="0.25">
      <c r="G39" s="32" t="s">
        <v>46</v>
      </c>
      <c r="H39" s="34">
        <v>8388862</v>
      </c>
      <c r="I39" t="s">
        <v>110</v>
      </c>
    </row>
    <row r="40" spans="7:9" x14ac:dyDescent="0.25">
      <c r="G40" s="32" t="s">
        <v>43</v>
      </c>
      <c r="H40" s="34">
        <v>8138967</v>
      </c>
      <c r="I40" t="s">
        <v>110</v>
      </c>
    </row>
    <row r="41" spans="7:9" x14ac:dyDescent="0.25">
      <c r="G41" s="32" t="s">
        <v>47</v>
      </c>
      <c r="H41" s="34">
        <v>7903395</v>
      </c>
      <c r="I41" t="s">
        <v>110</v>
      </c>
    </row>
    <row r="42" spans="7:9" x14ac:dyDescent="0.25">
      <c r="G42" s="32" t="s">
        <v>48</v>
      </c>
      <c r="H42" s="34">
        <v>7901003</v>
      </c>
      <c r="I42" t="s">
        <v>110</v>
      </c>
    </row>
    <row r="43" spans="7:9" x14ac:dyDescent="0.25">
      <c r="G43" s="32" t="s">
        <v>41</v>
      </c>
      <c r="H43" s="34">
        <v>7443726</v>
      </c>
      <c r="I43" t="s">
        <v>111</v>
      </c>
    </row>
    <row r="44" spans="7:9" x14ac:dyDescent="0.25">
      <c r="G44" s="32" t="s">
        <v>45</v>
      </c>
      <c r="H44" s="34">
        <v>7283717</v>
      </c>
      <c r="I44" t="s">
        <v>111</v>
      </c>
    </row>
    <row r="45" spans="7:9" x14ac:dyDescent="0.25">
      <c r="G45" s="32" t="s">
        <v>42</v>
      </c>
      <c r="H45" s="34">
        <v>6822484</v>
      </c>
      <c r="I45" t="s">
        <v>109</v>
      </c>
    </row>
    <row r="46" spans="7:9" x14ac:dyDescent="0.25">
      <c r="G46" s="32" t="s">
        <v>35</v>
      </c>
      <c r="H46" s="34">
        <v>5670266</v>
      </c>
      <c r="I46" t="s">
        <v>112</v>
      </c>
    </row>
    <row r="47" spans="7:9" x14ac:dyDescent="0.25">
      <c r="G47" s="32" t="s">
        <v>36</v>
      </c>
      <c r="H47" s="34">
        <v>5558578</v>
      </c>
      <c r="I47" t="s">
        <v>112</v>
      </c>
    </row>
    <row r="48" spans="7:9" x14ac:dyDescent="0.25">
      <c r="G48" s="32" t="s">
        <v>37</v>
      </c>
      <c r="H48" s="34">
        <v>4005990</v>
      </c>
      <c r="I48" t="s">
        <v>135</v>
      </c>
    </row>
    <row r="49" spans="7:9" x14ac:dyDescent="0.25">
      <c r="G49" s="33" t="s">
        <v>38</v>
      </c>
      <c r="H49" s="34">
        <v>3153519</v>
      </c>
      <c r="I49" t="s">
        <v>135</v>
      </c>
    </row>
  </sheetData>
  <dataConsolidate/>
  <mergeCells count="1">
    <mergeCell ref="G3:O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 NATURAL</vt:lpstr>
      <vt:lpstr>RADIAÇÃO</vt:lpstr>
      <vt:lpstr>SATURAÇÃO</vt:lpstr>
      <vt:lpstr>ESTAÍSTICA</vt:lpstr>
      <vt:lpstr>TRAÇÃO_ESTAT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Usuarios</dc:creator>
  <cp:lastModifiedBy>Diego Vidal Santos</cp:lastModifiedBy>
  <dcterms:created xsi:type="dcterms:W3CDTF">2015-09-29T14:34:17Z</dcterms:created>
  <dcterms:modified xsi:type="dcterms:W3CDTF">2022-08-18T19:48:54Z</dcterms:modified>
</cp:coreProperties>
</file>