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7"/>
  <workbookPr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20 - ARTIGOS/3 - ARTIGOS SUBMETIDOS/ARTIGO GEOTEXTIL OURICURI/4 - DADOS/"/>
    </mc:Choice>
  </mc:AlternateContent>
  <xr:revisionPtr revIDLastSave="511" documentId="13_ncr:1_{BE51082D-827B-4173-B308-A42363AA3CD0}" xr6:coauthVersionLast="47" xr6:coauthVersionMax="47" xr10:uidLastSave="{87B73A73-A746-421F-A853-9371F9BB00E9}"/>
  <bookViews>
    <workbookView xWindow="-108" yWindow="-108" windowWidth="23256" windowHeight="12456" tabRatio="782" xr2:uid="{00000000-000D-0000-FFFF-FFFF00000000}"/>
  </bookViews>
  <sheets>
    <sheet name="Dados gerais" sheetId="12" r:id="rId1"/>
    <sheet name="Deformação" sheetId="11" state="hidden" r:id="rId2"/>
    <sheet name="Gráfico deformação" sheetId="6" r:id="rId3"/>
    <sheet name="Planilha3" sheetId="15" r:id="rId4"/>
    <sheet name="Gráfico secante" sheetId="8" r:id="rId5"/>
    <sheet name="resistencia a tração" sheetId="13" r:id="rId6"/>
  </sheets>
  <definedNames>
    <definedName name="_xlnm._FilterDatabase" localSheetId="0" hidden="1">'Dados gerais'!$B$2:$N$79</definedName>
    <definedName name="_xlnm._FilterDatabase" localSheetId="1" hidden="1">Deformação!$B$2:$E$99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8" i="6"/>
  <c r="D9" i="6"/>
  <c r="D10" i="6"/>
  <c r="D11" i="6"/>
  <c r="D4" i="6"/>
  <c r="D5" i="6"/>
  <c r="D6" i="6"/>
  <c r="D15" i="6"/>
  <c r="D14" i="6"/>
  <c r="D13" i="6"/>
  <c r="D12" i="6"/>
  <c r="H47" i="12"/>
  <c r="H26" i="12"/>
  <c r="K28" i="12"/>
  <c r="K20" i="12"/>
  <c r="K74" i="12"/>
  <c r="M21" i="12"/>
  <c r="M22" i="12"/>
  <c r="K21" i="12"/>
  <c r="H21" i="12"/>
  <c r="M3" i="12"/>
  <c r="M54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2" i="12"/>
  <c r="H23" i="12"/>
  <c r="H24" i="12"/>
  <c r="H25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K79" i="12"/>
  <c r="K78" i="12"/>
  <c r="K77" i="12"/>
  <c r="K76" i="12"/>
  <c r="K75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7" i="12"/>
  <c r="K26" i="12"/>
  <c r="K25" i="12"/>
  <c r="K24" i="12"/>
  <c r="K23" i="12"/>
  <c r="K22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D4" i="13"/>
  <c r="D6" i="13"/>
  <c r="D5" i="13"/>
  <c r="D12" i="13"/>
  <c r="D10" i="13"/>
  <c r="D11" i="13"/>
  <c r="D9" i="13"/>
  <c r="D15" i="13"/>
  <c r="D13" i="13"/>
  <c r="N73" i="12"/>
  <c r="N74" i="12"/>
  <c r="D14" i="13"/>
  <c r="D8" i="13"/>
  <c r="D7" i="13"/>
  <c r="L21" i="12"/>
  <c r="N4" i="12"/>
  <c r="L8" i="12"/>
  <c r="L10" i="12"/>
  <c r="N14" i="12"/>
  <c r="L18" i="12"/>
  <c r="N36" i="12"/>
  <c r="N38" i="12"/>
  <c r="L42" i="12"/>
  <c r="N6" i="12"/>
  <c r="N12" i="12"/>
  <c r="L16" i="12"/>
  <c r="N20" i="12"/>
  <c r="L40" i="12"/>
  <c r="N46" i="12"/>
  <c r="N44" i="12"/>
  <c r="L48" i="12"/>
  <c r="N50" i="12"/>
  <c r="N52" i="12"/>
  <c r="N19" i="12"/>
  <c r="L29" i="12"/>
  <c r="L31" i="12"/>
  <c r="N51" i="12"/>
  <c r="L59" i="12"/>
  <c r="N60" i="12"/>
  <c r="L61" i="12"/>
  <c r="L63" i="12"/>
  <c r="L67" i="12"/>
  <c r="N75" i="12"/>
  <c r="L62" i="12"/>
  <c r="L19" i="12"/>
  <c r="L27" i="12"/>
  <c r="L51" i="12"/>
  <c r="L3" i="12"/>
  <c r="N11" i="12"/>
  <c r="L23" i="12"/>
  <c r="N27" i="12"/>
  <c r="N68" i="12"/>
  <c r="L70" i="12"/>
  <c r="L72" i="12"/>
  <c r="N76" i="12"/>
  <c r="L78" i="12"/>
  <c r="L22" i="12"/>
  <c r="L35" i="12"/>
  <c r="N43" i="12"/>
  <c r="L53" i="12"/>
  <c r="N59" i="12"/>
  <c r="N28" i="12"/>
  <c r="L30" i="12"/>
  <c r="L54" i="12"/>
  <c r="N3" i="12"/>
  <c r="N67" i="12"/>
  <c r="N35" i="12"/>
  <c r="L7" i="12"/>
  <c r="L24" i="12"/>
  <c r="L39" i="12"/>
  <c r="L56" i="12"/>
  <c r="L69" i="12"/>
  <c r="L6" i="12"/>
  <c r="L11" i="12"/>
  <c r="L13" i="12"/>
  <c r="L15" i="12"/>
  <c r="N30" i="12"/>
  <c r="L32" i="12"/>
  <c r="N34" i="12"/>
  <c r="L38" i="12"/>
  <c r="L43" i="12"/>
  <c r="L45" i="12"/>
  <c r="L47" i="12"/>
  <c r="N62" i="12"/>
  <c r="L64" i="12"/>
  <c r="L66" i="12"/>
  <c r="L75" i="12"/>
  <c r="L77" i="12"/>
  <c r="L79" i="12"/>
  <c r="L5" i="12"/>
  <c r="N22" i="12"/>
  <c r="L26" i="12"/>
  <c r="L37" i="12"/>
  <c r="N54" i="12"/>
  <c r="N58" i="12"/>
  <c r="L71" i="12"/>
  <c r="L14" i="12"/>
  <c r="L46" i="12"/>
  <c r="L55" i="12"/>
  <c r="N64" i="12"/>
  <c r="L34" i="12"/>
  <c r="L50" i="12"/>
  <c r="L58" i="12"/>
  <c r="L74" i="12"/>
  <c r="N79" i="12"/>
  <c r="N71" i="12"/>
  <c r="N63" i="12"/>
  <c r="N55" i="12"/>
  <c r="N47" i="12"/>
  <c r="N39" i="12"/>
  <c r="N31" i="12"/>
  <c r="N23" i="12"/>
  <c r="N15" i="12"/>
  <c r="N7" i="12"/>
  <c r="L4" i="12"/>
  <c r="L9" i="12"/>
  <c r="L12" i="12"/>
  <c r="L17" i="12"/>
  <c r="L20" i="12"/>
  <c r="L25" i="12"/>
  <c r="L28" i="12"/>
  <c r="L33" i="12"/>
  <c r="L36" i="12"/>
  <c r="L41" i="12"/>
  <c r="L44" i="12"/>
  <c r="L49" i="12"/>
  <c r="L52" i="12"/>
  <c r="L57" i="12"/>
  <c r="L60" i="12"/>
  <c r="L65" i="12"/>
  <c r="L68" i="12"/>
  <c r="L73" i="12"/>
  <c r="L76" i="12"/>
  <c r="N78" i="12"/>
  <c r="N70" i="12"/>
  <c r="N66" i="12"/>
  <c r="N42" i="12"/>
  <c r="N26" i="12"/>
  <c r="N18" i="12"/>
  <c r="N10" i="12"/>
  <c r="N72" i="12"/>
  <c r="N56" i="12"/>
  <c r="N48" i="12"/>
  <c r="N40" i="12"/>
  <c r="N32" i="12"/>
  <c r="N24" i="12"/>
  <c r="N16" i="12"/>
  <c r="N8" i="12"/>
  <c r="N77" i="12"/>
  <c r="N69" i="12"/>
  <c r="N65" i="12"/>
  <c r="N61" i="12"/>
  <c r="N57" i="12"/>
  <c r="N53" i="12"/>
  <c r="N49" i="12"/>
  <c r="N45" i="12"/>
  <c r="N41" i="12"/>
  <c r="N37" i="12"/>
  <c r="N33" i="12"/>
  <c r="N29" i="12"/>
  <c r="N25" i="12"/>
  <c r="N21" i="12"/>
  <c r="N17" i="12"/>
  <c r="N13" i="12"/>
  <c r="N9" i="12"/>
  <c r="N5" i="12"/>
  <c r="D9" i="8"/>
  <c r="E9" i="8"/>
  <c r="D10" i="8"/>
  <c r="E10" i="8"/>
  <c r="D11" i="8"/>
  <c r="E11" i="8"/>
  <c r="D13" i="8"/>
  <c r="E13" i="8"/>
  <c r="D12" i="8"/>
  <c r="E12" i="8"/>
  <c r="D14" i="8"/>
  <c r="E14" i="8"/>
  <c r="D8" i="8"/>
  <c r="E8" i="8"/>
  <c r="D6" i="8"/>
  <c r="E6" i="8"/>
  <c r="D5" i="8"/>
  <c r="E5" i="8"/>
  <c r="D15" i="8"/>
  <c r="E15" i="8"/>
  <c r="D7" i="8"/>
  <c r="E7" i="8"/>
  <c r="D4" i="8"/>
  <c r="E4" i="8"/>
</calcChain>
</file>

<file path=xl/sharedStrings.xml><?xml version="1.0" encoding="utf-8"?>
<sst xmlns="http://schemas.openxmlformats.org/spreadsheetml/2006/main" count="1821" uniqueCount="309">
  <si>
    <t>Tratamentos</t>
  </si>
  <si>
    <t>Geotextil</t>
  </si>
  <si>
    <t>Tempos</t>
  </si>
  <si>
    <t>Repetição</t>
  </si>
  <si>
    <t>Sem resina</t>
  </si>
  <si>
    <t>30 dias</t>
  </si>
  <si>
    <t>60 dias</t>
  </si>
  <si>
    <t>90 dias</t>
  </si>
  <si>
    <t>120 dias</t>
  </si>
  <si>
    <t>Comprimento útil da fibra (mm)</t>
  </si>
  <si>
    <t>Deformação (ε)</t>
  </si>
  <si>
    <t>Carga (N)</t>
  </si>
  <si>
    <t>diametro da fibra (mm)</t>
  </si>
  <si>
    <t>Rigidez (Jsec)</t>
  </si>
  <si>
    <t xml:space="preserve">Tensão de ruptura </t>
  </si>
  <si>
    <t>Período</t>
  </si>
  <si>
    <t>Aplicação</t>
  </si>
  <si>
    <t>1x resina</t>
  </si>
  <si>
    <t>2x resina</t>
  </si>
  <si>
    <t>1x resin</t>
  </si>
  <si>
    <t>2x resin</t>
  </si>
  <si>
    <t>Deformação</t>
  </si>
  <si>
    <t>0.795</t>
  </si>
  <si>
    <t>Post Hoc Tests</t>
  </si>
  <si>
    <t>Post Hoc Comparisons - Tratamentos ✻ RM Factor 1</t>
  </si>
  <si>
    <t>95% CI for Mean Difference</t>
  </si>
  <si>
    <t>Mean Difference</t>
  </si>
  <si>
    <t>Lower</t>
  </si>
  <si>
    <t>Upper</t>
  </si>
  <si>
    <t>Cohen's d</t>
  </si>
  <si>
    <r>
      <t>p</t>
    </r>
    <r>
      <rPr>
        <b/>
        <vertAlign val="subscript"/>
        <sz val="11"/>
        <color theme="1"/>
        <rFont val="Arial"/>
        <family val="2"/>
      </rPr>
      <t>bonf</t>
    </r>
  </si>
  <si>
    <t>Sem, resina, T1</t>
  </si>
  <si>
    <t>1x, resina, T1</t>
  </si>
  <si>
    <t>2x, resina, T1</t>
  </si>
  <si>
    <t>Sem, resina, T2</t>
  </si>
  <si>
    <t>-0.429</t>
  </si>
  <si>
    <t>0.104</t>
  </si>
  <si>
    <t>1x, resina, T2</t>
  </si>
  <si>
    <t>0.996</t>
  </si>
  <si>
    <t>2x, resina, T2</t>
  </si>
  <si>
    <t>Sem, resina, T3</t>
  </si>
  <si>
    <t>&lt; .001</t>
  </si>
  <si>
    <t>***</t>
  </si>
  <si>
    <t>1x, resina, T3</t>
  </si>
  <si>
    <t>2x, resina, T3</t>
  </si>
  <si>
    <t>Sem, resina, T4</t>
  </si>
  <si>
    <t>0.002</t>
  </si>
  <si>
    <t>**</t>
  </si>
  <si>
    <t>1x, resina, T4</t>
  </si>
  <si>
    <t>2x, resina, T4</t>
  </si>
  <si>
    <t>Sem, resina, T5</t>
  </si>
  <si>
    <t>-0.052</t>
  </si>
  <si>
    <t>0.058</t>
  </si>
  <si>
    <t>1x, resina, T5</t>
  </si>
  <si>
    <t>2x, resina, T5</t>
  </si>
  <si>
    <t>Sem, resina, T6</t>
  </si>
  <si>
    <t>1x, resina, T6</t>
  </si>
  <si>
    <t>2x, resina, T6</t>
  </si>
  <si>
    <t>Sem, resina, T7</t>
  </si>
  <si>
    <t>1x, resina, T7</t>
  </si>
  <si>
    <t>2x, resina, T7</t>
  </si>
  <si>
    <t>0.937</t>
  </si>
  <si>
    <t>-0.321</t>
  </si>
  <si>
    <t>0.127</t>
  </si>
  <si>
    <t>0.857</t>
  </si>
  <si>
    <t>0.984</t>
  </si>
  <si>
    <t>-0.123</t>
  </si>
  <si>
    <t>0.072</t>
  </si>
  <si>
    <t>0.001</t>
  </si>
  <si>
    <t>-0.781</t>
  </si>
  <si>
    <t>-0.344</t>
  </si>
  <si>
    <t>-0.870</t>
  </si>
  <si>
    <t>0.874</t>
  </si>
  <si>
    <t>-0.125</t>
  </si>
  <si>
    <t>0.030</t>
  </si>
  <si>
    <t>0.046</t>
  </si>
  <si>
    <t>*</t>
  </si>
  <si>
    <t>0.575</t>
  </si>
  <si>
    <t>0.999</t>
  </si>
  <si>
    <t>0.601</t>
  </si>
  <si>
    <t>0.198</t>
  </si>
  <si>
    <t>0.087</t>
  </si>
  <si>
    <t>0.890</t>
  </si>
  <si>
    <t>0.829</t>
  </si>
  <si>
    <t>0.992</t>
  </si>
  <si>
    <t>-0.526</t>
  </si>
  <si>
    <t>-0.329</t>
  </si>
  <si>
    <t>0.130</t>
  </si>
  <si>
    <t>0.727</t>
  </si>
  <si>
    <t>0.005</t>
  </si>
  <si>
    <t>0.811</t>
  </si>
  <si>
    <t>0.004</t>
  </si>
  <si>
    <t>0.919</t>
  </si>
  <si>
    <t>0.945</t>
  </si>
  <si>
    <t>0.980</t>
  </si>
  <si>
    <t>0.432</t>
  </si>
  <si>
    <t>-0.248</t>
  </si>
  <si>
    <t>-0.749</t>
  </si>
  <si>
    <t>0.406</t>
  </si>
  <si>
    <t>-0.342</t>
  </si>
  <si>
    <t>0.136</t>
  </si>
  <si>
    <t>0.865</t>
  </si>
  <si>
    <t>0.003</t>
  </si>
  <si>
    <t>0.137</t>
  </si>
  <si>
    <t>-0.350</t>
  </si>
  <si>
    <t>0.958</t>
  </si>
  <si>
    <t>-0.596</t>
  </si>
  <si>
    <t>0.271</t>
  </si>
  <si>
    <t>-0.662</t>
  </si>
  <si>
    <t>0.329</t>
  </si>
  <si>
    <t>-0.164</t>
  </si>
  <si>
    <t>0.081</t>
  </si>
  <si>
    <t>0.445</t>
  </si>
  <si>
    <t>0.013</t>
  </si>
  <si>
    <t>0.781</t>
  </si>
  <si>
    <t>0.985</t>
  </si>
  <si>
    <t>0.434</t>
  </si>
  <si>
    <t>0.502</t>
  </si>
  <si>
    <t>-0.959</t>
  </si>
  <si>
    <t>-0.535</t>
  </si>
  <si>
    <t>-0.933</t>
  </si>
  <si>
    <t>-0.643</t>
  </si>
  <si>
    <t>-0.704</t>
  </si>
  <si>
    <t>0.009</t>
  </si>
  <si>
    <t>-0.485</t>
  </si>
  <si>
    <t>-0.420</t>
  </si>
  <si>
    <t>-0.185</t>
  </si>
  <si>
    <t>-0.084</t>
  </si>
  <si>
    <t>-0.037</t>
  </si>
  <si>
    <t>0.926</t>
  </si>
  <si>
    <t>0.155</t>
  </si>
  <si>
    <t>0.128</t>
  </si>
  <si>
    <t>0.068</t>
  </si>
  <si>
    <t>-0.969</t>
  </si>
  <si>
    <t>0.324</t>
  </si>
  <si>
    <t>-0.976</t>
  </si>
  <si>
    <t>-0.430</t>
  </si>
  <si>
    <t>-0.919</t>
  </si>
  <si>
    <t>-0.619</t>
  </si>
  <si>
    <t>-0.471</t>
  </si>
  <si>
    <t>0.921</t>
  </si>
  <si>
    <t>0.492</t>
  </si>
  <si>
    <t>0.169</t>
  </si>
  <si>
    <t>0.082</t>
  </si>
  <si>
    <t>-0.498</t>
  </si>
  <si>
    <t>-0.987</t>
  </si>
  <si>
    <t>-0.687</t>
  </si>
  <si>
    <t>-0.539</t>
  </si>
  <si>
    <t>0.963</t>
  </si>
  <si>
    <t>0.424</t>
  </si>
  <si>
    <t>0.962</t>
  </si>
  <si>
    <t>0.026</t>
  </si>
  <si>
    <t>-0.488</t>
  </si>
  <si>
    <t>0.716</t>
  </si>
  <si>
    <t>0.315</t>
  </si>
  <si>
    <t>0.578</t>
  </si>
  <si>
    <t>0.254</t>
  </si>
  <si>
    <t>0.474</t>
  </si>
  <si>
    <t>0.774</t>
  </si>
  <si>
    <t>-0.313</t>
  </si>
  <si>
    <t>0.124</t>
  </si>
  <si>
    <t>-0.903</t>
  </si>
  <si>
    <t>-0.398</t>
  </si>
  <si>
    <t>-0.911</t>
  </si>
  <si>
    <t>-0.246</t>
  </si>
  <si>
    <t>-0.109</t>
  </si>
  <si>
    <t>-0.384</t>
  </si>
  <si>
    <t>-0.169</t>
  </si>
  <si>
    <t>0.539</t>
  </si>
  <si>
    <t>0.114</t>
  </si>
  <si>
    <t>0.050</t>
  </si>
  <si>
    <t>0.350</t>
  </si>
  <si>
    <t>0.498</t>
  </si>
  <si>
    <t>-0.513</t>
  </si>
  <si>
    <t>0.657</t>
  </si>
  <si>
    <t>0.289</t>
  </si>
  <si>
    <t>0.519</t>
  </si>
  <si>
    <t>0.229</t>
  </si>
  <si>
    <t>0.448</t>
  </si>
  <si>
    <t>0.748</t>
  </si>
  <si>
    <t>0.896</t>
  </si>
  <si>
    <t>-0.300</t>
  </si>
  <si>
    <t>0.120</t>
  </si>
  <si>
    <t>0.803</t>
  </si>
  <si>
    <t>0.742</t>
  </si>
  <si>
    <t>0.794</t>
  </si>
  <si>
    <t>-0.138</t>
  </si>
  <si>
    <t>-0.061</t>
  </si>
  <si>
    <t>-0.803</t>
  </si>
  <si>
    <t>0.648</t>
  </si>
  <si>
    <t>0.360</t>
  </si>
  <si>
    <t>0.159</t>
  </si>
  <si>
    <t>0.458</t>
  </si>
  <si>
    <t>0.606</t>
  </si>
  <si>
    <t>0.830</t>
  </si>
  <si>
    <t>-0.742</t>
  </si>
  <si>
    <t>0.708</t>
  </si>
  <si>
    <t>0.219</t>
  </si>
  <si>
    <t>0.667</t>
  </si>
  <si>
    <t>-0.819</t>
  </si>
  <si>
    <t>-0.489</t>
  </si>
  <si>
    <t>-0.189</t>
  </si>
  <si>
    <t>-0.094</t>
  </si>
  <si>
    <t>-0.041</t>
  </si>
  <si>
    <t>0.922</t>
  </si>
  <si>
    <t>0.681</t>
  </si>
  <si>
    <t>0.300</t>
  </si>
  <si>
    <t>0.336</t>
  </si>
  <si>
    <t>0.148</t>
  </si>
  <si>
    <t> * p &lt; .05, ** p &lt; .01, *** p &lt; .001</t>
  </si>
  <si>
    <r>
      <t>Note.</t>
    </r>
    <r>
      <rPr>
        <sz val="11"/>
        <color theme="1"/>
        <rFont val="Arial"/>
        <family val="2"/>
      </rPr>
      <t xml:space="preserve">  P-value and confidence intervals adjusted for comparing a family of 210 estimates (confidence intervals corrected using the bonferroni method).</t>
    </r>
  </si>
  <si>
    <t>Ouricuri</t>
  </si>
  <si>
    <t>sem resina</t>
  </si>
  <si>
    <t xml:space="preserve">2x resina </t>
  </si>
  <si>
    <t>Deformação média</t>
  </si>
  <si>
    <t>Tempos (dias)</t>
  </si>
  <si>
    <t>Extensão em Máximo Carga (mm)</t>
  </si>
  <si>
    <t>0x resina</t>
  </si>
  <si>
    <t>Secante</t>
  </si>
  <si>
    <t>-</t>
  </si>
  <si>
    <t>1x camada</t>
  </si>
  <si>
    <t>2x camadas</t>
  </si>
  <si>
    <t>Comparações por Método Pairwise</t>
  </si>
  <si>
    <t xml:space="preserve">Variável dependente: </t>
  </si>
  <si>
    <t>Diferença média (I-J)</t>
  </si>
  <si>
    <t>Limite inferior</t>
  </si>
  <si>
    <t>Limite superior</t>
  </si>
  <si>
    <t>150 dias</t>
  </si>
  <si>
    <t>1x Resina</t>
  </si>
  <si>
    <t>2x Resina</t>
  </si>
  <si>
    <t>Baseado em médias marginais estimadas</t>
  </si>
  <si>
    <t>*. A diferença média é significativa no nível 0,05.</t>
  </si>
  <si>
    <t>a. A combinação de nível de fatores em (J) não é observada.</t>
  </si>
  <si>
    <t>b. A combinação de nível de fatores em (I) não é observada.</t>
  </si>
  <si>
    <t>d. Ajustamento para diversas comparações: Bonferroni.</t>
  </si>
  <si>
    <r>
      <t>Sig.</t>
    </r>
    <r>
      <rPr>
        <vertAlign val="superscript"/>
        <sz val="9"/>
        <color indexed="62"/>
        <rFont val="Arial"/>
        <family val="2"/>
      </rPr>
      <t>d</t>
    </r>
  </si>
  <si>
    <r>
      <t>95% Intervalo de Confiança para Diferença</t>
    </r>
    <r>
      <rPr>
        <vertAlign val="superscript"/>
        <sz val="9"/>
        <color indexed="62"/>
        <rFont val="Arial"/>
        <family val="2"/>
      </rPr>
      <t>d</t>
    </r>
  </si>
  <si>
    <r>
      <t>.</t>
    </r>
    <r>
      <rPr>
        <vertAlign val="superscript"/>
        <sz val="9"/>
        <color indexed="60"/>
        <rFont val="Arial"/>
        <family val="2"/>
      </rPr>
      <t>a</t>
    </r>
  </si>
  <si>
    <r>
      <t>.</t>
    </r>
    <r>
      <rPr>
        <vertAlign val="superscript"/>
        <sz val="9"/>
        <color indexed="60"/>
        <rFont val="Arial"/>
        <family val="2"/>
      </rPr>
      <t>b</t>
    </r>
  </si>
  <si>
    <r>
      <t>2,324</t>
    </r>
    <r>
      <rPr>
        <vertAlign val="superscript"/>
        <sz val="9"/>
        <color indexed="60"/>
        <rFont val="Arial"/>
        <family val="2"/>
      </rPr>
      <t>*</t>
    </r>
  </si>
  <si>
    <r>
      <t>-2,324</t>
    </r>
    <r>
      <rPr>
        <vertAlign val="superscript"/>
        <sz val="9"/>
        <color indexed="60"/>
        <rFont val="Arial"/>
        <family val="2"/>
      </rPr>
      <t>*</t>
    </r>
  </si>
  <si>
    <t>b. A combinação de nível de fatores em (J) não é observada.</t>
  </si>
  <si>
    <t>c. A combinação de nível de fatores em (I) não é observada.</t>
  </si>
  <si>
    <r>
      <t>.</t>
    </r>
    <r>
      <rPr>
        <vertAlign val="superscript"/>
        <sz val="9"/>
        <color indexed="60"/>
        <rFont val="Arial"/>
        <family val="2"/>
      </rPr>
      <t>c</t>
    </r>
  </si>
  <si>
    <r>
      <t>1,838</t>
    </r>
    <r>
      <rPr>
        <vertAlign val="superscript"/>
        <sz val="9"/>
        <color indexed="60"/>
        <rFont val="Arial"/>
        <family val="2"/>
      </rPr>
      <t>*</t>
    </r>
  </si>
  <si>
    <r>
      <t>-1,838</t>
    </r>
    <r>
      <rPr>
        <vertAlign val="superscript"/>
        <sz val="9"/>
        <color indexed="60"/>
        <rFont val="Arial"/>
        <family val="2"/>
      </rPr>
      <t>*</t>
    </r>
  </si>
  <si>
    <r>
      <t>2,342</t>
    </r>
    <r>
      <rPr>
        <vertAlign val="superscript"/>
        <sz val="9"/>
        <color indexed="60"/>
        <rFont val="Arial"/>
        <family val="2"/>
      </rPr>
      <t>*</t>
    </r>
  </si>
  <si>
    <r>
      <t>3,246</t>
    </r>
    <r>
      <rPr>
        <vertAlign val="superscript"/>
        <sz val="9"/>
        <color indexed="60"/>
        <rFont val="Arial"/>
        <family val="2"/>
      </rPr>
      <t>*</t>
    </r>
  </si>
  <si>
    <r>
      <t>3,372</t>
    </r>
    <r>
      <rPr>
        <vertAlign val="superscript"/>
        <sz val="9"/>
        <color indexed="60"/>
        <rFont val="Arial"/>
        <family val="2"/>
      </rPr>
      <t>*</t>
    </r>
  </si>
  <si>
    <r>
      <t>2,126</t>
    </r>
    <r>
      <rPr>
        <vertAlign val="superscript"/>
        <sz val="9"/>
        <color indexed="60"/>
        <rFont val="Arial"/>
        <family val="2"/>
      </rPr>
      <t>*</t>
    </r>
  </si>
  <si>
    <r>
      <t>2,252</t>
    </r>
    <r>
      <rPr>
        <vertAlign val="superscript"/>
        <sz val="9"/>
        <color indexed="60"/>
        <rFont val="Arial"/>
        <family val="2"/>
      </rPr>
      <t>*</t>
    </r>
  </si>
  <si>
    <r>
      <t>-2,342</t>
    </r>
    <r>
      <rPr>
        <vertAlign val="superscript"/>
        <sz val="9"/>
        <color indexed="60"/>
        <rFont val="Arial"/>
        <family val="2"/>
      </rPr>
      <t>*</t>
    </r>
  </si>
  <si>
    <r>
      <t>-3,246</t>
    </r>
    <r>
      <rPr>
        <vertAlign val="superscript"/>
        <sz val="9"/>
        <color indexed="60"/>
        <rFont val="Arial"/>
        <family val="2"/>
      </rPr>
      <t>*</t>
    </r>
  </si>
  <si>
    <r>
      <t>-2,126</t>
    </r>
    <r>
      <rPr>
        <vertAlign val="superscript"/>
        <sz val="9"/>
        <color indexed="60"/>
        <rFont val="Arial"/>
        <family val="2"/>
      </rPr>
      <t>*</t>
    </r>
  </si>
  <si>
    <r>
      <t>-3,372</t>
    </r>
    <r>
      <rPr>
        <vertAlign val="superscript"/>
        <sz val="9"/>
        <color indexed="60"/>
        <rFont val="Arial"/>
        <family val="2"/>
      </rPr>
      <t>*</t>
    </r>
  </si>
  <si>
    <r>
      <t>-2,252</t>
    </r>
    <r>
      <rPr>
        <vertAlign val="superscript"/>
        <sz val="9"/>
        <color indexed="60"/>
        <rFont val="Arial"/>
        <family val="2"/>
      </rPr>
      <t>*</t>
    </r>
  </si>
  <si>
    <t>secante</t>
  </si>
  <si>
    <r>
      <t>13,315</t>
    </r>
    <r>
      <rPr>
        <vertAlign val="superscript"/>
        <sz val="9"/>
        <color indexed="60"/>
        <rFont val="Arial"/>
        <family val="2"/>
      </rPr>
      <t>*</t>
    </r>
  </si>
  <si>
    <r>
      <t>11,685</t>
    </r>
    <r>
      <rPr>
        <vertAlign val="superscript"/>
        <sz val="9"/>
        <color indexed="60"/>
        <rFont val="Arial"/>
        <family val="2"/>
      </rPr>
      <t>*</t>
    </r>
  </si>
  <si>
    <r>
      <t>-13,315</t>
    </r>
    <r>
      <rPr>
        <vertAlign val="superscript"/>
        <sz val="9"/>
        <color indexed="60"/>
        <rFont val="Arial"/>
        <family val="2"/>
      </rPr>
      <t>*</t>
    </r>
  </si>
  <si>
    <r>
      <t>-11,685</t>
    </r>
    <r>
      <rPr>
        <vertAlign val="superscript"/>
        <sz val="9"/>
        <color indexed="60"/>
        <rFont val="Arial"/>
        <family val="2"/>
      </rPr>
      <t>*</t>
    </r>
  </si>
  <si>
    <r>
      <t>13,139</t>
    </r>
    <r>
      <rPr>
        <vertAlign val="superscript"/>
        <sz val="9"/>
        <color indexed="60"/>
        <rFont val="Arial"/>
        <family val="2"/>
      </rPr>
      <t>*</t>
    </r>
  </si>
  <si>
    <r>
      <t>16,489</t>
    </r>
    <r>
      <rPr>
        <vertAlign val="superscript"/>
        <sz val="9"/>
        <color indexed="60"/>
        <rFont val="Arial"/>
        <family val="2"/>
      </rPr>
      <t>*</t>
    </r>
  </si>
  <si>
    <r>
      <t>-13,139</t>
    </r>
    <r>
      <rPr>
        <vertAlign val="superscript"/>
        <sz val="9"/>
        <color indexed="60"/>
        <rFont val="Arial"/>
        <family val="2"/>
      </rPr>
      <t>*</t>
    </r>
  </si>
  <si>
    <r>
      <t>-16,489</t>
    </r>
    <r>
      <rPr>
        <vertAlign val="superscript"/>
        <sz val="9"/>
        <color indexed="60"/>
        <rFont val="Arial"/>
        <family val="2"/>
      </rPr>
      <t>*</t>
    </r>
  </si>
  <si>
    <r>
      <t>-9,703</t>
    </r>
    <r>
      <rPr>
        <vertAlign val="superscript"/>
        <sz val="9"/>
        <color indexed="60"/>
        <rFont val="Arial"/>
        <family val="2"/>
      </rPr>
      <t>*</t>
    </r>
  </si>
  <si>
    <r>
      <t>9,703</t>
    </r>
    <r>
      <rPr>
        <vertAlign val="superscript"/>
        <sz val="9"/>
        <color indexed="60"/>
        <rFont val="Arial"/>
        <family val="2"/>
      </rPr>
      <t>*</t>
    </r>
  </si>
  <si>
    <t>Resistência à Tração (N/mm)*</t>
  </si>
  <si>
    <t>0 dias</t>
  </si>
  <si>
    <t>00 dias</t>
  </si>
  <si>
    <t>Tração</t>
  </si>
  <si>
    <t>-1.9%</t>
  </si>
  <si>
    <t>3.2%</t>
  </si>
  <si>
    <t>-1.6%</t>
  </si>
  <si>
    <t>3.5%</t>
  </si>
  <si>
    <t>-2.1%</t>
  </si>
  <si>
    <t>3.4%</t>
  </si>
  <si>
    <t>0.1%</t>
  </si>
  <si>
    <t>3.7%</t>
  </si>
  <si>
    <t>0.4%</t>
  </si>
  <si>
    <t>4.0%</t>
  </si>
  <si>
    <t>-0.1%</t>
  </si>
  <si>
    <t>3.8%</t>
  </si>
  <si>
    <t>2.1%</t>
  </si>
  <si>
    <t>4.5%</t>
  </si>
  <si>
    <t>1.1%</t>
  </si>
  <si>
    <t>2.3%</t>
  </si>
  <si>
    <t>4.4%</t>
  </si>
  <si>
    <t>Para converter esses valores em porcentagem, basta multiplicá-los por 100. Segue o resultado para os pares de valores fornecidos:</t>
  </si>
  <si>
    <t>Valor 1</t>
  </si>
  <si>
    <t>Valor 2</t>
  </si>
  <si>
    <t>Percentagem 1 (%)</t>
  </si>
  <si>
    <t>Percentagem 2 (%)</t>
  </si>
  <si>
    <t>-0.019</t>
  </si>
  <si>
    <t>0.032</t>
  </si>
  <si>
    <t>-0.016</t>
  </si>
  <si>
    <t>0.035</t>
  </si>
  <si>
    <t>-0.021</t>
  </si>
  <si>
    <t>0.034</t>
  </si>
  <si>
    <t>0.037</t>
  </si>
  <si>
    <t>0.040</t>
  </si>
  <si>
    <t>-0.001</t>
  </si>
  <si>
    <t>0.038</t>
  </si>
  <si>
    <t>0.021</t>
  </si>
  <si>
    <t>0.045</t>
  </si>
  <si>
    <t>0.011</t>
  </si>
  <si>
    <t>0.023</t>
  </si>
  <si>
    <t>0.044</t>
  </si>
  <si>
    <t>Se precisar de mais alguma análise ou ajustes, é só avisar!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</si>
</sst>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##0.000"/>
    <numFmt numFmtId="165" formatCode="#,##0.000"/>
    <numFmt numFmtId="166" formatCode="0.0%"/>
  </numFmts>
  <fonts count="2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b/>
      <vertAlign val="subscript"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Arial"/>
      <family val="2"/>
    </font>
    <font>
      <b/>
      <sz val="11"/>
      <color indexed="60"/>
      <name val="Arial Bold"/>
    </font>
    <font>
      <sz val="9"/>
      <color indexed="60"/>
      <name val="Arial"/>
      <family val="2"/>
    </font>
    <font>
      <sz val="9"/>
      <color indexed="62"/>
      <name val="Arial"/>
      <family val="2"/>
    </font>
    <font>
      <vertAlign val="superscript"/>
      <sz val="9"/>
      <color indexed="62"/>
      <name val="Arial"/>
      <family val="2"/>
    </font>
    <font>
      <vertAlign val="superscript"/>
      <sz val="9"/>
      <color indexed="60"/>
      <name val="Arial"/>
      <family val="2"/>
    </font>
    <font>
      <sz val="11"/>
      <color theme="1"/>
      <name val="Arial"/>
    </font>
    <font>
      <b/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6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9" fillId="0" borderId="0"/>
    <xf numFmtId="0" fontId="9" fillId="0" borderId="0"/>
    <xf numFmtId="9" fontId="20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vertical="center"/>
    </xf>
    <xf numFmtId="11" fontId="0" fillId="0" borderId="0" xfId="0" applyNumberFormat="1" applyAlignment="1">
      <alignment horizontal="right" vertical="center" wrapText="1"/>
    </xf>
    <xf numFmtId="2" fontId="0" fillId="0" borderId="0" xfId="2" applyNumberFormat="1" applyFont="1" applyAlignment="1"/>
    <xf numFmtId="4" fontId="3" fillId="0" borderId="0" xfId="0" applyNumberFormat="1" applyFont="1" applyAlignment="1">
      <alignment horizontal="right" vertical="center" wrapText="1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4" fillId="0" borderId="0" xfId="0" applyFont="1"/>
    <xf numFmtId="0" fontId="9" fillId="0" borderId="0" xfId="3"/>
    <xf numFmtId="0" fontId="17" fillId="0" borderId="11" xfId="3" applyFont="1" applyBorder="1" applyAlignment="1">
      <alignment horizontal="center" wrapText="1"/>
    </xf>
    <xf numFmtId="0" fontId="17" fillId="0" borderId="12" xfId="3" applyFont="1" applyBorder="1" applyAlignment="1">
      <alignment horizontal="center" wrapText="1"/>
    </xf>
    <xf numFmtId="0" fontId="17" fillId="4" borderId="18" xfId="3" applyFont="1" applyFill="1" applyBorder="1" applyAlignment="1">
      <alignment horizontal="left" vertical="top" wrapText="1"/>
    </xf>
    <xf numFmtId="164" fontId="16" fillId="0" borderId="19" xfId="3" applyNumberFormat="1" applyFont="1" applyBorder="1" applyAlignment="1">
      <alignment horizontal="right" vertical="top"/>
    </xf>
    <xf numFmtId="164" fontId="16" fillId="0" borderId="20" xfId="3" applyNumberFormat="1" applyFont="1" applyBorder="1" applyAlignment="1">
      <alignment horizontal="right" vertical="top"/>
    </xf>
    <xf numFmtId="164" fontId="16" fillId="0" borderId="21" xfId="3" applyNumberFormat="1" applyFont="1" applyBorder="1" applyAlignment="1">
      <alignment horizontal="right" vertical="top"/>
    </xf>
    <xf numFmtId="0" fontId="16" fillId="0" borderId="19" xfId="3" applyFont="1" applyBorder="1" applyAlignment="1">
      <alignment horizontal="right" vertical="top"/>
    </xf>
    <xf numFmtId="0" fontId="16" fillId="0" borderId="20" xfId="3" applyFont="1" applyBorder="1" applyAlignment="1">
      <alignment horizontal="right" vertical="top"/>
    </xf>
    <xf numFmtId="0" fontId="16" fillId="0" borderId="21" xfId="3" applyFont="1" applyBorder="1" applyAlignment="1">
      <alignment horizontal="right" vertical="top"/>
    </xf>
    <xf numFmtId="0" fontId="17" fillId="4" borderId="22" xfId="3" applyFont="1" applyFill="1" applyBorder="1" applyAlignment="1">
      <alignment horizontal="left" vertical="top" wrapText="1"/>
    </xf>
    <xf numFmtId="0" fontId="16" fillId="0" borderId="23" xfId="3" applyFont="1" applyBorder="1" applyAlignment="1">
      <alignment horizontal="right" vertical="top"/>
    </xf>
    <xf numFmtId="0" fontId="16" fillId="0" borderId="24" xfId="3" applyFont="1" applyBorder="1" applyAlignment="1">
      <alignment horizontal="right" vertical="top"/>
    </xf>
    <xf numFmtId="0" fontId="16" fillId="0" borderId="25" xfId="3" applyFont="1" applyBorder="1" applyAlignment="1">
      <alignment horizontal="right" vertical="top"/>
    </xf>
    <xf numFmtId="164" fontId="16" fillId="0" borderId="24" xfId="3" applyNumberFormat="1" applyFont="1" applyBorder="1" applyAlignment="1">
      <alignment horizontal="right" vertical="top"/>
    </xf>
    <xf numFmtId="164" fontId="16" fillId="0" borderId="25" xfId="3" applyNumberFormat="1" applyFont="1" applyBorder="1" applyAlignment="1">
      <alignment horizontal="right" vertical="top"/>
    </xf>
    <xf numFmtId="164" fontId="16" fillId="0" borderId="23" xfId="3" applyNumberFormat="1" applyFont="1" applyBorder="1" applyAlignment="1">
      <alignment horizontal="right" vertical="top"/>
    </xf>
    <xf numFmtId="0" fontId="17" fillId="4" borderId="26" xfId="3" applyFont="1" applyFill="1" applyBorder="1" applyAlignment="1">
      <alignment horizontal="left" vertical="top" wrapText="1"/>
    </xf>
    <xf numFmtId="0" fontId="16" fillId="0" borderId="27" xfId="3" applyFont="1" applyBorder="1" applyAlignment="1">
      <alignment horizontal="right" vertical="top"/>
    </xf>
    <xf numFmtId="0" fontId="16" fillId="0" borderId="28" xfId="3" applyFont="1" applyBorder="1" applyAlignment="1">
      <alignment horizontal="right" vertical="top"/>
    </xf>
    <xf numFmtId="0" fontId="16" fillId="0" borderId="29" xfId="3" applyFont="1" applyBorder="1" applyAlignment="1">
      <alignment horizontal="right" vertical="top"/>
    </xf>
    <xf numFmtId="0" fontId="17" fillId="2" borderId="18" xfId="3" applyFont="1" applyFill="1" applyBorder="1" applyAlignment="1">
      <alignment horizontal="left" vertical="top" wrapText="1"/>
    </xf>
    <xf numFmtId="164" fontId="16" fillId="2" borderId="19" xfId="3" applyNumberFormat="1" applyFont="1" applyFill="1" applyBorder="1" applyAlignment="1">
      <alignment horizontal="right" vertical="top"/>
    </xf>
    <xf numFmtId="164" fontId="16" fillId="2" borderId="20" xfId="3" applyNumberFormat="1" applyFont="1" applyFill="1" applyBorder="1" applyAlignment="1">
      <alignment horizontal="right" vertical="top"/>
    </xf>
    <xf numFmtId="164" fontId="16" fillId="2" borderId="21" xfId="3" applyNumberFormat="1" applyFont="1" applyFill="1" applyBorder="1" applyAlignment="1">
      <alignment horizontal="right" vertical="top"/>
    </xf>
    <xf numFmtId="0" fontId="16" fillId="2" borderId="19" xfId="3" applyFont="1" applyFill="1" applyBorder="1" applyAlignment="1">
      <alignment horizontal="right" vertical="top"/>
    </xf>
    <xf numFmtId="0" fontId="16" fillId="2" borderId="20" xfId="3" applyFont="1" applyFill="1" applyBorder="1" applyAlignment="1">
      <alignment horizontal="right" vertical="top"/>
    </xf>
    <xf numFmtId="0" fontId="16" fillId="2" borderId="21" xfId="3" applyFont="1" applyFill="1" applyBorder="1" applyAlignment="1">
      <alignment horizontal="right" vertical="top"/>
    </xf>
    <xf numFmtId="0" fontId="17" fillId="2" borderId="22" xfId="3" applyFont="1" applyFill="1" applyBorder="1" applyAlignment="1">
      <alignment horizontal="left" vertical="top" wrapText="1"/>
    </xf>
    <xf numFmtId="0" fontId="16" fillId="2" borderId="23" xfId="3" applyFont="1" applyFill="1" applyBorder="1" applyAlignment="1">
      <alignment horizontal="right" vertical="top"/>
    </xf>
    <xf numFmtId="0" fontId="16" fillId="2" borderId="24" xfId="3" applyFont="1" applyFill="1" applyBorder="1" applyAlignment="1">
      <alignment horizontal="right" vertical="top"/>
    </xf>
    <xf numFmtId="0" fontId="16" fillId="2" borderId="25" xfId="3" applyFont="1" applyFill="1" applyBorder="1" applyAlignment="1">
      <alignment horizontal="right" vertical="top"/>
    </xf>
    <xf numFmtId="164" fontId="16" fillId="2" borderId="24" xfId="3" applyNumberFormat="1" applyFont="1" applyFill="1" applyBorder="1" applyAlignment="1">
      <alignment horizontal="right" vertical="top"/>
    </xf>
    <xf numFmtId="164" fontId="16" fillId="2" borderId="25" xfId="3" applyNumberFormat="1" applyFont="1" applyFill="1" applyBorder="1" applyAlignment="1">
      <alignment horizontal="right" vertical="top"/>
    </xf>
    <xf numFmtId="0" fontId="17" fillId="2" borderId="14" xfId="3" applyFont="1" applyFill="1" applyBorder="1" applyAlignment="1">
      <alignment horizontal="left" vertical="top" wrapText="1"/>
    </xf>
    <xf numFmtId="164" fontId="16" fillId="2" borderId="16" xfId="3" applyNumberFormat="1" applyFont="1" applyFill="1" applyBorder="1" applyAlignment="1">
      <alignment horizontal="right" vertical="top"/>
    </xf>
    <xf numFmtId="164" fontId="16" fillId="2" borderId="17" xfId="3" applyNumberFormat="1" applyFont="1" applyFill="1" applyBorder="1" applyAlignment="1">
      <alignment horizontal="right" vertical="top"/>
    </xf>
    <xf numFmtId="164" fontId="16" fillId="2" borderId="15" xfId="3" applyNumberFormat="1" applyFont="1" applyFill="1" applyBorder="1" applyAlignment="1">
      <alignment horizontal="right" vertical="top"/>
    </xf>
    <xf numFmtId="0" fontId="9" fillId="0" borderId="0" xfId="4"/>
    <xf numFmtId="0" fontId="17" fillId="4" borderId="26" xfId="4" applyFont="1" applyFill="1" applyBorder="1" applyAlignment="1">
      <alignment horizontal="left" vertical="top" wrapText="1"/>
    </xf>
    <xf numFmtId="0" fontId="17" fillId="0" borderId="11" xfId="4" applyFont="1" applyBorder="1" applyAlignment="1">
      <alignment horizontal="center" wrapText="1"/>
    </xf>
    <xf numFmtId="0" fontId="17" fillId="0" borderId="12" xfId="4" applyFont="1" applyBorder="1" applyAlignment="1">
      <alignment horizontal="center" wrapText="1"/>
    </xf>
    <xf numFmtId="0" fontId="17" fillId="4" borderId="18" xfId="4" applyFont="1" applyFill="1" applyBorder="1" applyAlignment="1">
      <alignment horizontal="left" vertical="top" wrapText="1"/>
    </xf>
    <xf numFmtId="164" fontId="16" fillId="0" borderId="19" xfId="4" applyNumberFormat="1" applyFont="1" applyBorder="1" applyAlignment="1">
      <alignment horizontal="right" vertical="top"/>
    </xf>
    <xf numFmtId="164" fontId="16" fillId="0" borderId="20" xfId="4" applyNumberFormat="1" applyFont="1" applyBorder="1" applyAlignment="1">
      <alignment horizontal="right" vertical="top"/>
    </xf>
    <xf numFmtId="164" fontId="16" fillId="0" borderId="21" xfId="4" applyNumberFormat="1" applyFont="1" applyBorder="1" applyAlignment="1">
      <alignment horizontal="right" vertical="top"/>
    </xf>
    <xf numFmtId="0" fontId="16" fillId="0" borderId="19" xfId="4" applyFont="1" applyBorder="1" applyAlignment="1">
      <alignment horizontal="right" vertical="top"/>
    </xf>
    <xf numFmtId="0" fontId="16" fillId="0" borderId="20" xfId="4" applyFont="1" applyBorder="1" applyAlignment="1">
      <alignment horizontal="right" vertical="top"/>
    </xf>
    <xf numFmtId="0" fontId="16" fillId="0" borderId="21" xfId="4" applyFont="1" applyBorder="1" applyAlignment="1">
      <alignment horizontal="right" vertical="top"/>
    </xf>
    <xf numFmtId="0" fontId="17" fillId="4" borderId="22" xfId="4" applyFont="1" applyFill="1" applyBorder="1" applyAlignment="1">
      <alignment horizontal="left" vertical="top" wrapText="1"/>
    </xf>
    <xf numFmtId="0" fontId="16" fillId="0" borderId="23" xfId="4" applyFont="1" applyBorder="1" applyAlignment="1">
      <alignment horizontal="right" vertical="top"/>
    </xf>
    <xf numFmtId="0" fontId="16" fillId="0" borderId="24" xfId="4" applyFont="1" applyBorder="1" applyAlignment="1">
      <alignment horizontal="right" vertical="top"/>
    </xf>
    <xf numFmtId="0" fontId="16" fillId="0" borderId="25" xfId="4" applyFont="1" applyBorder="1" applyAlignment="1">
      <alignment horizontal="right" vertical="top"/>
    </xf>
    <xf numFmtId="164" fontId="16" fillId="0" borderId="24" xfId="4" applyNumberFormat="1" applyFont="1" applyBorder="1" applyAlignment="1">
      <alignment horizontal="right" vertical="top"/>
    </xf>
    <xf numFmtId="164" fontId="16" fillId="0" borderId="25" xfId="4" applyNumberFormat="1" applyFont="1" applyBorder="1" applyAlignment="1">
      <alignment horizontal="right" vertical="top"/>
    </xf>
    <xf numFmtId="164" fontId="16" fillId="0" borderId="23" xfId="4" applyNumberFormat="1" applyFont="1" applyBorder="1" applyAlignment="1">
      <alignment horizontal="right" vertical="top"/>
    </xf>
    <xf numFmtId="0" fontId="16" fillId="0" borderId="27" xfId="4" applyFont="1" applyBorder="1" applyAlignment="1">
      <alignment horizontal="right" vertical="top"/>
    </xf>
    <xf numFmtId="0" fontId="16" fillId="0" borderId="28" xfId="4" applyFont="1" applyBorder="1" applyAlignment="1">
      <alignment horizontal="right" vertical="top"/>
    </xf>
    <xf numFmtId="0" fontId="16" fillId="0" borderId="29" xfId="4" applyFont="1" applyBorder="1" applyAlignment="1">
      <alignment horizontal="right" vertical="top"/>
    </xf>
    <xf numFmtId="0" fontId="17" fillId="2" borderId="18" xfId="4" applyFont="1" applyFill="1" applyBorder="1" applyAlignment="1">
      <alignment horizontal="left" vertical="top" wrapText="1"/>
    </xf>
    <xf numFmtId="164" fontId="16" fillId="2" borderId="19" xfId="4" applyNumberFormat="1" applyFont="1" applyFill="1" applyBorder="1" applyAlignment="1">
      <alignment horizontal="right" vertical="top"/>
    </xf>
    <xf numFmtId="164" fontId="16" fillId="2" borderId="20" xfId="4" applyNumberFormat="1" applyFont="1" applyFill="1" applyBorder="1" applyAlignment="1">
      <alignment horizontal="right" vertical="top"/>
    </xf>
    <xf numFmtId="164" fontId="16" fillId="2" borderId="21" xfId="4" applyNumberFormat="1" applyFont="1" applyFill="1" applyBorder="1" applyAlignment="1">
      <alignment horizontal="right" vertical="top"/>
    </xf>
    <xf numFmtId="0" fontId="16" fillId="2" borderId="19" xfId="4" applyFont="1" applyFill="1" applyBorder="1" applyAlignment="1">
      <alignment horizontal="right" vertical="top"/>
    </xf>
    <xf numFmtId="0" fontId="17" fillId="2" borderId="22" xfId="4" applyFont="1" applyFill="1" applyBorder="1" applyAlignment="1">
      <alignment horizontal="left" vertical="top" wrapText="1"/>
    </xf>
    <xf numFmtId="0" fontId="16" fillId="2" borderId="23" xfId="4" applyFont="1" applyFill="1" applyBorder="1" applyAlignment="1">
      <alignment horizontal="right" vertical="top"/>
    </xf>
    <xf numFmtId="164" fontId="16" fillId="2" borderId="24" xfId="4" applyNumberFormat="1" applyFont="1" applyFill="1" applyBorder="1" applyAlignment="1">
      <alignment horizontal="right" vertical="top"/>
    </xf>
    <xf numFmtId="164" fontId="16" fillId="2" borderId="25" xfId="4" applyNumberFormat="1" applyFont="1" applyFill="1" applyBorder="1" applyAlignment="1">
      <alignment horizontal="right" vertical="top"/>
    </xf>
    <xf numFmtId="0" fontId="17" fillId="2" borderId="14" xfId="4" applyFont="1" applyFill="1" applyBorder="1" applyAlignment="1">
      <alignment horizontal="left" vertical="top" wrapText="1"/>
    </xf>
    <xf numFmtId="164" fontId="16" fillId="2" borderId="15" xfId="4" applyNumberFormat="1" applyFont="1" applyFill="1" applyBorder="1" applyAlignment="1">
      <alignment horizontal="right" vertical="top"/>
    </xf>
    <xf numFmtId="164" fontId="16" fillId="2" borderId="16" xfId="4" applyNumberFormat="1" applyFont="1" applyFill="1" applyBorder="1" applyAlignment="1">
      <alignment horizontal="right" vertical="top"/>
    </xf>
    <xf numFmtId="164" fontId="16" fillId="2" borderId="17" xfId="4" applyNumberFormat="1" applyFont="1" applyFill="1" applyBorder="1" applyAlignment="1">
      <alignment horizontal="right" vertical="top"/>
    </xf>
    <xf numFmtId="0" fontId="16" fillId="2" borderId="20" xfId="4" applyFont="1" applyFill="1" applyBorder="1" applyAlignment="1">
      <alignment horizontal="right" vertical="top"/>
    </xf>
    <xf numFmtId="0" fontId="16" fillId="2" borderId="21" xfId="4" applyFont="1" applyFill="1" applyBorder="1" applyAlignment="1">
      <alignment horizontal="right" vertical="top"/>
    </xf>
    <xf numFmtId="0" fontId="16" fillId="2" borderId="24" xfId="4" applyFont="1" applyFill="1" applyBorder="1" applyAlignment="1">
      <alignment horizontal="right" vertical="top"/>
    </xf>
    <xf numFmtId="0" fontId="16" fillId="2" borderId="25" xfId="4" applyFont="1" applyFill="1" applyBorder="1" applyAlignment="1">
      <alignment horizontal="right" vertical="top"/>
    </xf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65" fontId="3" fillId="0" borderId="0" xfId="0" applyNumberFormat="1" applyFont="1" applyAlignment="1">
      <alignment horizontal="right" vertical="center" wrapText="1"/>
    </xf>
    <xf numFmtId="10" fontId="2" fillId="0" borderId="0" xfId="5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0" fillId="0" borderId="0" xfId="5" applyNumberFormat="1" applyFont="1" applyAlignment="1"/>
    <xf numFmtId="0" fontId="16" fillId="0" borderId="0" xfId="3" applyFont="1" applyAlignment="1">
      <alignment horizontal="left" vertical="top" wrapText="1"/>
    </xf>
    <xf numFmtId="0" fontId="17" fillId="0" borderId="6" xfId="3" applyFont="1" applyBorder="1" applyAlignment="1">
      <alignment horizontal="center" wrapText="1"/>
    </xf>
    <xf numFmtId="0" fontId="17" fillId="0" borderId="10" xfId="3" applyFont="1" applyBorder="1" applyAlignment="1">
      <alignment horizontal="center" wrapText="1"/>
    </xf>
    <xf numFmtId="0" fontId="17" fillId="0" borderId="7" xfId="3" applyFont="1" applyBorder="1" applyAlignment="1">
      <alignment horizontal="center" wrapText="1"/>
    </xf>
    <xf numFmtId="0" fontId="17" fillId="0" borderId="11" xfId="3" applyFont="1" applyBorder="1" applyAlignment="1">
      <alignment horizontal="center" wrapText="1"/>
    </xf>
    <xf numFmtId="0" fontId="17" fillId="0" borderId="8" xfId="3" applyFont="1" applyBorder="1" applyAlignment="1">
      <alignment horizontal="center" wrapText="1"/>
    </xf>
    <xf numFmtId="0" fontId="17" fillId="4" borderId="22" xfId="3" applyFont="1" applyFill="1" applyBorder="1" applyAlignment="1">
      <alignment horizontal="left" vertical="top" wrapText="1"/>
    </xf>
    <xf numFmtId="0" fontId="17" fillId="4" borderId="18" xfId="3" applyFont="1" applyFill="1" applyBorder="1" applyAlignment="1">
      <alignment horizontal="left" vertical="top" wrapText="1"/>
    </xf>
    <xf numFmtId="0" fontId="17" fillId="4" borderId="26" xfId="3" applyFont="1" applyFill="1" applyBorder="1" applyAlignment="1">
      <alignment horizontal="left" vertical="top" wrapText="1"/>
    </xf>
    <xf numFmtId="0" fontId="17" fillId="2" borderId="22" xfId="3" applyFont="1" applyFill="1" applyBorder="1" applyAlignment="1">
      <alignment horizontal="left" vertical="top" wrapText="1"/>
    </xf>
    <xf numFmtId="0" fontId="17" fillId="2" borderId="18" xfId="3" applyFont="1" applyFill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4" borderId="13" xfId="3" applyFont="1" applyFill="1" applyBorder="1" applyAlignment="1">
      <alignment horizontal="left" vertical="top" wrapText="1"/>
    </xf>
    <xf numFmtId="0" fontId="17" fillId="2" borderId="13" xfId="3" applyFont="1" applyFill="1" applyBorder="1" applyAlignment="1">
      <alignment horizontal="left" vertical="top" wrapText="1"/>
    </xf>
    <xf numFmtId="0" fontId="15" fillId="0" borderId="0" xfId="3" applyFont="1" applyAlignment="1">
      <alignment horizontal="center" vertical="center" wrapText="1"/>
    </xf>
    <xf numFmtId="0" fontId="16" fillId="3" borderId="0" xfId="3" applyFont="1" applyFill="1"/>
    <xf numFmtId="0" fontId="9" fillId="0" borderId="0" xfId="3"/>
    <xf numFmtId="0" fontId="17" fillId="0" borderId="0" xfId="3" applyFont="1" applyAlignment="1">
      <alignment horizontal="left" wrapText="1"/>
    </xf>
    <xf numFmtId="0" fontId="17" fillId="0" borderId="9" xfId="3" applyFont="1" applyBorder="1" applyAlignment="1">
      <alignment horizontal="left" wrapText="1"/>
    </xf>
    <xf numFmtId="0" fontId="16" fillId="0" borderId="0" xfId="4" applyFont="1" applyAlignment="1">
      <alignment horizontal="left" vertical="top" wrapText="1"/>
    </xf>
    <xf numFmtId="0" fontId="17" fillId="4" borderId="22" xfId="4" applyFont="1" applyFill="1" applyBorder="1" applyAlignment="1">
      <alignment horizontal="left" vertical="top" wrapText="1"/>
    </xf>
    <xf numFmtId="0" fontId="17" fillId="4" borderId="18" xfId="4" applyFont="1" applyFill="1" applyBorder="1" applyAlignment="1">
      <alignment horizontal="left" vertical="top" wrapText="1"/>
    </xf>
    <xf numFmtId="0" fontId="17" fillId="4" borderId="26" xfId="4" applyFont="1" applyFill="1" applyBorder="1" applyAlignment="1">
      <alignment horizontal="left" vertical="top" wrapText="1"/>
    </xf>
    <xf numFmtId="0" fontId="17" fillId="2" borderId="22" xfId="4" applyFont="1" applyFill="1" applyBorder="1" applyAlignment="1">
      <alignment horizontal="left" vertical="top" wrapText="1"/>
    </xf>
    <xf numFmtId="0" fontId="17" fillId="2" borderId="18" xfId="4" applyFont="1" applyFill="1" applyBorder="1" applyAlignment="1">
      <alignment horizontal="left" vertical="top" wrapText="1"/>
    </xf>
    <xf numFmtId="0" fontId="17" fillId="4" borderId="13" xfId="4" applyFont="1" applyFill="1" applyBorder="1" applyAlignment="1">
      <alignment horizontal="left" vertical="top" wrapText="1"/>
    </xf>
    <xf numFmtId="0" fontId="17" fillId="2" borderId="13" xfId="4" applyFont="1" applyFill="1" applyBorder="1" applyAlignment="1">
      <alignment horizontal="left" vertical="top" wrapText="1"/>
    </xf>
    <xf numFmtId="0" fontId="15" fillId="0" borderId="0" xfId="4" applyFont="1" applyAlignment="1">
      <alignment horizontal="center" vertical="center" wrapText="1"/>
    </xf>
    <xf numFmtId="0" fontId="16" fillId="3" borderId="0" xfId="4" applyFont="1" applyFill="1"/>
    <xf numFmtId="0" fontId="9" fillId="0" borderId="0" xfId="4"/>
    <xf numFmtId="0" fontId="17" fillId="0" borderId="0" xfId="4" applyFont="1" applyAlignment="1">
      <alignment horizontal="left" wrapText="1"/>
    </xf>
    <xf numFmtId="0" fontId="17" fillId="0" borderId="9" xfId="4" applyFont="1" applyBorder="1" applyAlignment="1">
      <alignment horizontal="left" wrapText="1"/>
    </xf>
    <xf numFmtId="0" fontId="17" fillId="0" borderId="6" xfId="4" applyFont="1" applyBorder="1" applyAlignment="1">
      <alignment horizontal="center" wrapText="1"/>
    </xf>
    <xf numFmtId="0" fontId="17" fillId="0" borderId="10" xfId="4" applyFont="1" applyBorder="1" applyAlignment="1">
      <alignment horizontal="center" wrapText="1"/>
    </xf>
    <xf numFmtId="0" fontId="17" fillId="0" borderId="7" xfId="4" applyFont="1" applyBorder="1" applyAlignment="1">
      <alignment horizontal="center" wrapText="1"/>
    </xf>
    <xf numFmtId="0" fontId="17" fillId="0" borderId="11" xfId="4" applyFont="1" applyBorder="1" applyAlignment="1">
      <alignment horizontal="center" wrapText="1"/>
    </xf>
    <xf numFmtId="0" fontId="17" fillId="0" borderId="8" xfId="4" applyFont="1" applyBorder="1" applyAlignment="1">
      <alignment horizontal="center" wrapText="1"/>
    </xf>
    <xf numFmtId="0" fontId="0" fillId="0" borderId="2" xfId="0" applyBorder="1" applyAlignment="1">
      <alignment horizontal="right" vertical="center" wrapText="1"/>
    </xf>
    <xf numFmtId="0" fontId="0" fillId="0" borderId="5" xfId="0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6">
    <cellStyle name="Normal" xfId="0" builtinId="0"/>
    <cellStyle name="Normal 2" xfId="1" xr:uid="{00000000-0005-0000-0000-000001000000}"/>
    <cellStyle name="Normal_Gráfico deformação" xfId="3" xr:uid="{74B5D11A-58C0-4079-8611-3FFE1A02D17F}"/>
    <cellStyle name="Normal_Gráfico secante" xfId="4" xr:uid="{DDA81019-6FDD-40F5-9A45-B8470D867ACC}"/>
    <cellStyle name="Porcentagem" xfId="5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718472660042986"/>
          <c:y val="0.13139737991266379"/>
          <c:w val="0.85251223762318962"/>
          <c:h val="0.611492546369921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'Gráfico deformação'!$B$4</c:f>
              <c:strCache>
                <c:ptCount val="1"/>
                <c:pt idx="0">
                  <c:v>Sem resina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000000"/>
                </a:solidFill>
                <a:prstDash val="lgDash"/>
              </a:ln>
              <a:effectLst/>
            </c:spPr>
            <c:trendlineType val="log"/>
            <c:dispRSqr val="0"/>
            <c:dispEq val="0"/>
          </c:trendline>
          <c:xVal>
            <c:strRef>
              <c:f>'Gráfico deformação'!$C$4:$C$6</c:f>
              <c:strCache>
                <c:ptCount val="3"/>
                <c:pt idx="0">
                  <c:v>0 dias</c:v>
                </c:pt>
                <c:pt idx="1">
                  <c:v>30 dias</c:v>
                </c:pt>
                <c:pt idx="2">
                  <c:v>60 dias</c:v>
                </c:pt>
              </c:strCache>
            </c:strRef>
          </c:xVal>
          <c:yVal>
            <c:numRef>
              <c:f>'Gráfico deformação'!$D$4:$D$6</c:f>
              <c:numCache>
                <c:formatCode>0.0%</c:formatCode>
                <c:ptCount val="3"/>
                <c:pt idx="0">
                  <c:v>3.3289600000000003E-2</c:v>
                </c:pt>
                <c:pt idx="1">
                  <c:v>2.6842248120300748E-2</c:v>
                </c:pt>
                <c:pt idx="2">
                  <c:v>1.4912350877192981E-2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A5-4745-9EF6-0889D8AA9858}"/>
            </c:ext>
          </c:extLst>
        </c:ser>
        <c:ser>
          <c:idx val="1"/>
          <c:order val="1"/>
          <c:tx>
            <c:strRef>
              <c:f>'Gráfico deformação'!$B$7</c:f>
              <c:strCache>
                <c:ptCount val="1"/>
                <c:pt idx="0">
                  <c:v>1x camada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0000"/>
              </a:solidFill>
              <a:ln w="15875">
                <a:solidFill>
                  <a:srgbClr val="000000">
                    <a:alpha val="97000"/>
                  </a:srgbClr>
                </a:solidFill>
              </a:ln>
              <a:effectLst/>
            </c:spPr>
          </c:marker>
          <c:trendline>
            <c:spPr>
              <a:ln w="22225" cap="rnd">
                <a:solidFill>
                  <a:srgbClr val="000000"/>
                </a:solidFill>
                <a:prstDash val="lgDashDotDot"/>
              </a:ln>
              <a:effectLst/>
            </c:spPr>
            <c:trendlineType val="log"/>
            <c:dispRSqr val="0"/>
            <c:dispEq val="0"/>
          </c:trendline>
          <c:xVal>
            <c:strRef>
              <c:f>'Gráfico deformação'!$C$7:$C$11</c:f>
              <c:strCache>
                <c:ptCount val="5"/>
                <c:pt idx="0">
                  <c:v>0 dias</c:v>
                </c:pt>
                <c:pt idx="1">
                  <c:v>30 dias</c:v>
                </c:pt>
                <c:pt idx="2">
                  <c:v>60 dias</c:v>
                </c:pt>
                <c:pt idx="3">
                  <c:v>90 dias</c:v>
                </c:pt>
                <c:pt idx="4">
                  <c:v>120 dias</c:v>
                </c:pt>
              </c:strCache>
            </c:strRef>
          </c:xVal>
          <c:yVal>
            <c:numRef>
              <c:f>'Gráfico deformação'!$D$7:$D$11</c:f>
              <c:numCache>
                <c:formatCode>0.0%</c:formatCode>
                <c:ptCount val="5"/>
                <c:pt idx="0">
                  <c:v>3.8947315789473677E-2</c:v>
                </c:pt>
                <c:pt idx="1">
                  <c:v>2.7744428571428573E-2</c:v>
                </c:pt>
                <c:pt idx="2">
                  <c:v>1.5526315789473687E-2</c:v>
                </c:pt>
                <c:pt idx="3">
                  <c:v>6.4849473684210519E-3</c:v>
                </c:pt>
                <c:pt idx="4">
                  <c:v>5.2255864661654135E-3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B9-47CA-8866-D27FDBD1D5DD}"/>
            </c:ext>
          </c:extLst>
        </c:ser>
        <c:ser>
          <c:idx val="2"/>
          <c:order val="2"/>
          <c:tx>
            <c:strRef>
              <c:f>'Gráfico deformação'!$B$12</c:f>
              <c:strCache>
                <c:ptCount val="1"/>
                <c:pt idx="0">
                  <c:v>2x camadas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15875">
                <a:solidFill>
                  <a:srgbClr val="000000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dashDot"/>
              </a:ln>
              <a:effectLst/>
            </c:spPr>
            <c:trendlineType val="log"/>
            <c:dispRSqr val="0"/>
            <c:dispEq val="0"/>
          </c:trendline>
          <c:xVal>
            <c:strRef>
              <c:f>'Gráfico deformação'!$C$12:$C$15</c:f>
              <c:strCache>
                <c:ptCount val="4"/>
                <c:pt idx="0">
                  <c:v>0 dias</c:v>
                </c:pt>
                <c:pt idx="1">
                  <c:v>30 dias</c:v>
                </c:pt>
                <c:pt idx="2">
                  <c:v>60 dias</c:v>
                </c:pt>
                <c:pt idx="3">
                  <c:v>90 dias</c:v>
                </c:pt>
              </c:strCache>
            </c:strRef>
          </c:xVal>
          <c:yVal>
            <c:numRef>
              <c:f>'Gráfico deformação'!$D$12:$D$15</c:f>
              <c:numCache>
                <c:formatCode>0.0%</c:formatCode>
                <c:ptCount val="4"/>
                <c:pt idx="0">
                  <c:v>2.7526389473684212E-2</c:v>
                </c:pt>
                <c:pt idx="1">
                  <c:v>2.0319624060150376E-2</c:v>
                </c:pt>
                <c:pt idx="2">
                  <c:v>9.9813082706766924E-3</c:v>
                </c:pt>
                <c:pt idx="3">
                  <c:v>4.2858421052631582E-3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B9-47CA-8866-D27FDBD1D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342560"/>
        <c:axId val="486342232"/>
      </c:scatterChart>
      <c:valAx>
        <c:axId val="486342560"/>
        <c:scaling>
          <c:orientation val="minMax"/>
          <c:max val="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1" i="0" baseline="0">
                    <a:effectLst/>
                  </a:rPr>
                  <a:t>Tempo do experimento (dias)</a:t>
                </a:r>
                <a:endParaRPr lang="pt-BR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0.35749826193207046"/>
              <c:y val="0.8813025137285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232"/>
        <c:crosses val="autoZero"/>
        <c:crossBetween val="midCat"/>
        <c:majorUnit val="1"/>
      </c:valAx>
      <c:valAx>
        <c:axId val="486342232"/>
        <c:scaling>
          <c:orientation val="minMax"/>
          <c:max val="5.000000000000001E-2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40000"/>
                </a:srgb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200" b="1" i="0" baseline="0">
                    <a:effectLst/>
                  </a:rPr>
                  <a:t>Deformação por tração (%)</a:t>
                </a:r>
                <a:endParaRPr lang="pt-BR" sz="1200"/>
              </a:p>
            </c:rich>
          </c:tx>
          <c:layout>
            <c:manualLayout>
              <c:xMode val="edge"/>
              <c:yMode val="edge"/>
              <c:x val="1.2977428872257649E-2"/>
              <c:y val="0.186042961677657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0.0%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8472660042986"/>
          <c:y val="0.13139737991266379"/>
          <c:w val="0.85251223762318962"/>
          <c:h val="0.611492546369921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'Gráfico secante'!$B$4</c:f>
              <c:strCache>
                <c:ptCount val="1"/>
                <c:pt idx="0">
                  <c:v>Sem resina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dash"/>
              </a:ln>
              <a:effectLst/>
            </c:spPr>
            <c:trendlineType val="power"/>
            <c:dispRSqr val="0"/>
            <c:dispEq val="0"/>
          </c:trendline>
          <c:xVal>
            <c:strRef>
              <c:f>'Gráfico secante'!$C$4:$C$6</c:f>
              <c:strCache>
                <c:ptCount val="3"/>
                <c:pt idx="0">
                  <c:v>00 dias</c:v>
                </c:pt>
                <c:pt idx="1">
                  <c:v>30 dias</c:v>
                </c:pt>
                <c:pt idx="2">
                  <c:v>60 dias</c:v>
                </c:pt>
              </c:strCache>
            </c:strRef>
          </c:xVal>
          <c:yVal>
            <c:numRef>
              <c:f>'Gráfico secante'!$E$4:$E$6</c:f>
              <c:numCache>
                <c:formatCode>0.00</c:formatCode>
                <c:ptCount val="3"/>
                <c:pt idx="0">
                  <c:v>0.92982815533324059</c:v>
                </c:pt>
                <c:pt idx="1">
                  <c:v>0.41022835413459646</c:v>
                </c:pt>
                <c:pt idx="2">
                  <c:v>0.69366862726373102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F6-42EA-8064-EC2A07BAE2F5}"/>
            </c:ext>
          </c:extLst>
        </c:ser>
        <c:ser>
          <c:idx val="1"/>
          <c:order val="1"/>
          <c:tx>
            <c:strRef>
              <c:f>'Gráfico secante'!$B$7</c:f>
              <c:strCache>
                <c:ptCount val="1"/>
                <c:pt idx="0">
                  <c:v>1x resin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15875">
                <a:solidFill>
                  <a:schemeClr val="tx1">
                    <a:alpha val="97000"/>
                  </a:schemeClr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lgDashDotDot"/>
              </a:ln>
              <a:effectLst/>
            </c:spPr>
            <c:trendlineType val="linear"/>
            <c:dispRSqr val="0"/>
            <c:dispEq val="0"/>
          </c:trendline>
          <c:xVal>
            <c:strRef>
              <c:f>'Gráfico secante'!$C$7:$C$11</c:f>
              <c:strCache>
                <c:ptCount val="5"/>
                <c:pt idx="0">
                  <c:v>0 dias</c:v>
                </c:pt>
                <c:pt idx="1">
                  <c:v>30 dias</c:v>
                </c:pt>
                <c:pt idx="2">
                  <c:v>60 dias</c:v>
                </c:pt>
                <c:pt idx="3">
                  <c:v>90 dias</c:v>
                </c:pt>
                <c:pt idx="4">
                  <c:v>120 dias</c:v>
                </c:pt>
              </c:strCache>
            </c:strRef>
          </c:xVal>
          <c:yVal>
            <c:numRef>
              <c:f>'Gráfico secante'!$E$7:$E$11</c:f>
              <c:numCache>
                <c:formatCode>0.00</c:formatCode>
                <c:ptCount val="5"/>
                <c:pt idx="0">
                  <c:v>1.4370029550281906</c:v>
                </c:pt>
                <c:pt idx="1">
                  <c:v>1.9156701218349916</c:v>
                </c:pt>
                <c:pt idx="2">
                  <c:v>1.0547428688956557</c:v>
                </c:pt>
                <c:pt idx="3">
                  <c:v>3.9651325325410038</c:v>
                </c:pt>
                <c:pt idx="4">
                  <c:v>2.6854824154310979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F6-42EA-8064-EC2A07BAE2F5}"/>
            </c:ext>
          </c:extLst>
        </c:ser>
        <c:ser>
          <c:idx val="2"/>
          <c:order val="2"/>
          <c:tx>
            <c:strRef>
              <c:f>'Gráfico secante'!$B$12</c:f>
              <c:strCache>
                <c:ptCount val="1"/>
                <c:pt idx="0">
                  <c:v>2x resin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lgDashDotDot"/>
              </a:ln>
              <a:effectLst/>
            </c:spPr>
            <c:trendlineType val="power"/>
            <c:dispRSqr val="0"/>
            <c:dispEq val="0"/>
          </c:trendline>
          <c:xVal>
            <c:strRef>
              <c:f>'Gráfico secante'!$C$12:$C$15</c:f>
              <c:strCache>
                <c:ptCount val="4"/>
                <c:pt idx="0">
                  <c:v>0 dias</c:v>
                </c:pt>
                <c:pt idx="1">
                  <c:v>30 dias</c:v>
                </c:pt>
                <c:pt idx="2">
                  <c:v>60 dias</c:v>
                </c:pt>
                <c:pt idx="3">
                  <c:v>90 dias</c:v>
                </c:pt>
              </c:strCache>
            </c:strRef>
          </c:xVal>
          <c:yVal>
            <c:numRef>
              <c:f>'Gráfico secante'!$E$12:$E$15</c:f>
              <c:numCache>
                <c:formatCode>0.00</c:formatCode>
                <c:ptCount val="4"/>
                <c:pt idx="0">
                  <c:v>1.9126106959010718</c:v>
                </c:pt>
                <c:pt idx="1">
                  <c:v>4.9595865968109596</c:v>
                </c:pt>
                <c:pt idx="2">
                  <c:v>2.6367340227880702</c:v>
                </c:pt>
                <c:pt idx="3">
                  <c:v>5.5634316382046904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F6-42EA-8064-EC2A07BAE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342560"/>
        <c:axId val="486342232"/>
      </c:scatterChart>
      <c:valAx>
        <c:axId val="486342560"/>
        <c:scaling>
          <c:orientation val="minMax"/>
          <c:max val="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1"/>
                  <a:t>Tempo do experimento</a:t>
                </a:r>
                <a:r>
                  <a:rPr lang="pt-BR" sz="1400" b="1" baseline="0"/>
                  <a:t> (dias)</a:t>
                </a:r>
                <a:endParaRPr lang="pt-BR" sz="1400" b="1"/>
              </a:p>
            </c:rich>
          </c:tx>
          <c:layout>
            <c:manualLayout>
              <c:xMode val="edge"/>
              <c:yMode val="edge"/>
              <c:x val="0.42715067641338222"/>
              <c:y val="0.849011298646592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232"/>
        <c:crosses val="autoZero"/>
        <c:crossBetween val="midCat"/>
        <c:majorUnit val="1"/>
      </c:valAx>
      <c:valAx>
        <c:axId val="486342232"/>
        <c:scaling>
          <c:orientation val="minMax"/>
          <c:max val="1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b="1"/>
                  <a:t>Rigidez secante (N/m</a:t>
                </a:r>
                <a:r>
                  <a:rPr lang="pt-BR" b="1" baseline="30000"/>
                  <a:t>-1</a:t>
                </a:r>
                <a:r>
                  <a:rPr lang="pt-BR" b="1"/>
                  <a:t>)</a:t>
                </a:r>
              </a:p>
            </c:rich>
          </c:tx>
          <c:layout>
            <c:manualLayout>
              <c:xMode val="edge"/>
              <c:yMode val="edge"/>
              <c:x val="3.2993106911068425E-3"/>
              <c:y val="0.271131446238568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560"/>
        <c:crosses val="autoZero"/>
        <c:crossBetween val="midCat"/>
      </c:valAx>
      <c:spPr>
        <a:noFill/>
        <a:ln w="190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8471911422623"/>
          <c:y val="0.13712271827677772"/>
          <c:w val="0.85251223762318962"/>
          <c:h val="0.611492546369921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'resistencia a tração'!$B$4</c:f>
              <c:strCache>
                <c:ptCount val="1"/>
                <c:pt idx="0">
                  <c:v>Sem resina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dash"/>
              </a:ln>
              <a:effectLst/>
            </c:spPr>
            <c:trendlineType val="power"/>
            <c:dispRSqr val="0"/>
            <c:dispEq val="0"/>
          </c:trendline>
          <c:trendlin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'resistencia a tração'!$C$4:$C$6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'resistencia a tração'!$D$4:$D$6</c:f>
              <c:numCache>
                <c:formatCode>#,##0.000</c:formatCode>
                <c:ptCount val="3"/>
                <c:pt idx="0">
                  <c:v>3.1442405333333334</c:v>
                </c:pt>
                <c:pt idx="1">
                  <c:v>1.5632971428571429</c:v>
                </c:pt>
                <c:pt idx="2">
                  <c:v>1.2706827777777776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B1-4008-A0B7-C769B16431A4}"/>
            </c:ext>
          </c:extLst>
        </c:ser>
        <c:ser>
          <c:idx val="1"/>
          <c:order val="1"/>
          <c:tx>
            <c:strRef>
              <c:f>'resistencia a tração'!$B$7</c:f>
              <c:strCache>
                <c:ptCount val="1"/>
                <c:pt idx="0">
                  <c:v>1x resin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15875">
                <a:solidFill>
                  <a:schemeClr val="tx1">
                    <a:alpha val="97000"/>
                  </a:schemeClr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lgDashDotDot"/>
              </a:ln>
              <a:effectLst/>
            </c:spPr>
            <c:trendlineType val="exp"/>
            <c:dispRSqr val="0"/>
            <c:dispEq val="0"/>
          </c:trendline>
          <c:xVal>
            <c:numRef>
              <c:f>'resistencia a tração'!$C$7:$C$11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'resistencia a tração'!$D$7:$D$11</c:f>
              <c:numCache>
                <c:formatCode>#,##0.000</c:formatCode>
                <c:ptCount val="5"/>
                <c:pt idx="0">
                  <c:v>5.4809697999999996</c:v>
                </c:pt>
                <c:pt idx="1">
                  <c:v>3.6961848095238095</c:v>
                </c:pt>
                <c:pt idx="2">
                  <c:v>1.3895238095238096</c:v>
                </c:pt>
                <c:pt idx="3">
                  <c:v>1.3603685714285716</c:v>
                </c:pt>
                <c:pt idx="4">
                  <c:v>0.96438904761904765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B1-4008-A0B7-C769B16431A4}"/>
            </c:ext>
          </c:extLst>
        </c:ser>
        <c:ser>
          <c:idx val="2"/>
          <c:order val="2"/>
          <c:tx>
            <c:strRef>
              <c:f>'resistencia a tração'!$B$12</c:f>
              <c:strCache>
                <c:ptCount val="1"/>
                <c:pt idx="0">
                  <c:v>2x resin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lgDashDot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25400" cap="rnd">
                <a:solidFill>
                  <a:schemeClr val="tx1"/>
                </a:solidFill>
                <a:prstDash val="dashDot"/>
              </a:ln>
              <a:effectLst/>
            </c:spPr>
            <c:trendlineType val="exp"/>
            <c:dispRSqr val="0"/>
            <c:dispEq val="0"/>
          </c:trendline>
          <c:xVal>
            <c:numRef>
              <c:f>'resistencia a tração'!$C$12:$C$15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'resistencia a tração'!$D$12:$D$15</c:f>
              <c:numCache>
                <c:formatCode>#,##0.000</c:formatCode>
                <c:ptCount val="4"/>
                <c:pt idx="0">
                  <c:v>5.7612511428571427</c:v>
                </c:pt>
                <c:pt idx="1">
                  <c:v>1.9770795238095236</c:v>
                </c:pt>
                <c:pt idx="2">
                  <c:v>1.0694342222222222</c:v>
                </c:pt>
                <c:pt idx="3">
                  <c:v>1.5482621904761906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B1-4008-A0B7-C769B1643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342560"/>
        <c:axId val="486342232"/>
      </c:scatterChart>
      <c:valAx>
        <c:axId val="486342560"/>
        <c:scaling>
          <c:orientation val="minMax"/>
          <c:max val="4"/>
        </c:scaling>
        <c:delete val="0"/>
        <c:axPos val="b"/>
        <c:numFmt formatCode="#,##0.00" sourceLinked="0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232"/>
        <c:crosses val="autoZero"/>
        <c:crossBetween val="midCat"/>
        <c:majorUnit val="1"/>
      </c:valAx>
      <c:valAx>
        <c:axId val="486342232"/>
        <c:scaling>
          <c:orientation val="minMax"/>
        </c:scaling>
        <c:delete val="0"/>
        <c:axPos val="l"/>
        <c:numFmt formatCode="#,##0.000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560"/>
        <c:crosses val="autoZero"/>
        <c:crossBetween val="midCat"/>
      </c:valAx>
      <c:spPr>
        <a:noFill/>
        <a:ln w="190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561481</xdr:colOff>
      <xdr:row>1</xdr:row>
      <xdr:rowOff>138835</xdr:rowOff>
    </xdr:from>
    <xdr:to>
      <xdr:col>16</xdr:col>
      <xdr:colOff>332532</xdr:colOff>
      <xdr:row>22</xdr:row>
      <xdr:rowOff>142051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F7F8C7E-9A05-4C1F-9637-E1F675485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7593</xdr:rowOff>
    </xdr:from>
    <xdr:to>
      <xdr:col>18</xdr:col>
      <xdr:colOff>396875</xdr:colOff>
      <xdr:row>27</xdr:row>
      <xdr:rowOff>89647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1DB11D-5C85-4886-8AE1-2515F4FD7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7593</xdr:rowOff>
    </xdr:from>
    <xdr:to>
      <xdr:col>17</xdr:col>
      <xdr:colOff>396875</xdr:colOff>
      <xdr:row>27</xdr:row>
      <xdr:rowOff>89647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4CC1E3-4556-4653-A4AF-6ECAFC7C7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1434-DB46-4AD1-991E-C8EB81A3A4D3}">
  <sheetPr filterMode="1"/>
  <dimension ref="B1:N79"/>
  <sheetViews>
    <sheetView tabSelected="1" zoomScale="70" zoomScaleNormal="130" workbookViewId="0">
      <selection activeCell="F89" sqref="F89"/>
    </sheetView>
  </sheetViews>
  <sheetFormatPr defaultRowHeight="13.5" x14ac:dyDescent="0.15"/>
  <cols>
    <col min="1" max="1" width="0.609375" customWidth="1"/>
    <col min="2" max="2" width="10.54296875" bestFit="1" customWidth="1"/>
    <col min="3" max="3" width="8.08984375" hidden="1" customWidth="1"/>
    <col min="4" max="4" width="11.64453125" bestFit="1" customWidth="1"/>
    <col min="5" max="5" width="8.578125" customWidth="1"/>
    <col min="6" max="6" width="11.890625" customWidth="1"/>
    <col min="7" max="7" width="12.9921875" customWidth="1"/>
    <col min="8" max="8" width="12.74609375" bestFit="1" customWidth="1"/>
    <col min="9" max="9" width="8.703125" bestFit="1" customWidth="1"/>
    <col min="10" max="10" width="12.01171875" bestFit="1" customWidth="1"/>
    <col min="11" max="11" width="14.33984375" bestFit="1" customWidth="1"/>
    <col min="12" max="12" width="11.15234375" bestFit="1" customWidth="1"/>
    <col min="13" max="13" width="15.4453125" bestFit="1" customWidth="1"/>
  </cols>
  <sheetData>
    <row r="1" spans="2:14" ht="3" customHeight="1" x14ac:dyDescent="0.15"/>
    <row r="2" spans="2:14" ht="54.75" x14ac:dyDescent="0.2">
      <c r="B2" s="12" t="s">
        <v>0</v>
      </c>
      <c r="C2" s="12" t="s">
        <v>1</v>
      </c>
      <c r="D2" s="12" t="s">
        <v>215</v>
      </c>
      <c r="E2" s="12" t="s">
        <v>3</v>
      </c>
      <c r="F2" s="13" t="s">
        <v>216</v>
      </c>
      <c r="G2" s="13" t="s">
        <v>9</v>
      </c>
      <c r="H2" s="12" t="s">
        <v>10</v>
      </c>
      <c r="I2" s="13" t="s">
        <v>11</v>
      </c>
      <c r="J2" s="98" t="s">
        <v>12</v>
      </c>
      <c r="K2" s="98" t="s">
        <v>267</v>
      </c>
      <c r="L2" s="1" t="s">
        <v>13</v>
      </c>
      <c r="M2" s="1" t="s">
        <v>14</v>
      </c>
      <c r="N2" s="1" t="s">
        <v>218</v>
      </c>
    </row>
    <row r="3" spans="2:14" ht="15" x14ac:dyDescent="0.2">
      <c r="B3" t="s">
        <v>217</v>
      </c>
      <c r="C3" s="10" t="s">
        <v>211</v>
      </c>
      <c r="D3" s="14">
        <v>0</v>
      </c>
      <c r="E3" s="14">
        <v>1</v>
      </c>
      <c r="F3" s="15">
        <v>7.8750999999999998</v>
      </c>
      <c r="G3" s="1">
        <v>190</v>
      </c>
      <c r="H3" s="101">
        <f>(F3/G3)</f>
        <v>4.1447894736842107E-2</v>
      </c>
      <c r="I3" s="15">
        <v>14.730983</v>
      </c>
      <c r="J3" s="14">
        <v>3</v>
      </c>
      <c r="K3" s="14">
        <f t="shared" ref="K3:K60" si="0">(I3/J3)</f>
        <v>4.9103276666666664</v>
      </c>
      <c r="L3" s="14">
        <f t="shared" ref="L3:L60" si="1">(K3/H3)</f>
        <v>118.4698932923603</v>
      </c>
      <c r="M3">
        <f>I3/(0.785*(J3*J3))</f>
        <v>2.0850648266100493</v>
      </c>
      <c r="N3">
        <f>K3/H3</f>
        <v>118.4698932923603</v>
      </c>
    </row>
    <row r="4" spans="2:14" ht="15" x14ac:dyDescent="0.2">
      <c r="B4" t="s">
        <v>217</v>
      </c>
      <c r="C4" s="10" t="s">
        <v>211</v>
      </c>
      <c r="D4" s="14">
        <v>0</v>
      </c>
      <c r="E4" s="14">
        <v>2</v>
      </c>
      <c r="F4" s="15">
        <v>7.9749100000000004</v>
      </c>
      <c r="G4" s="1">
        <v>190</v>
      </c>
      <c r="H4" s="101">
        <f t="shared" ref="H4:H67" si="2">(F4/G4)</f>
        <v>4.1973210526315793E-2</v>
      </c>
      <c r="I4" s="15">
        <v>12.25761</v>
      </c>
      <c r="J4" s="14">
        <v>3</v>
      </c>
      <c r="K4" s="14">
        <f t="shared" si="0"/>
        <v>4.0858699999999999</v>
      </c>
      <c r="L4" s="14">
        <f t="shared" si="1"/>
        <v>97.344709846255313</v>
      </c>
      <c r="M4">
        <f t="shared" ref="M4:M61" si="3">I4/(0.785*(J4*J4))</f>
        <v>1.734976645435244</v>
      </c>
      <c r="N4">
        <f t="shared" ref="N4:N61" si="4">K4/H4</f>
        <v>97.344709846255313</v>
      </c>
    </row>
    <row r="5" spans="2:14" ht="15" x14ac:dyDescent="0.2">
      <c r="B5" t="s">
        <v>217</v>
      </c>
      <c r="C5" s="10" t="s">
        <v>211</v>
      </c>
      <c r="D5" s="14">
        <v>0</v>
      </c>
      <c r="E5" s="14">
        <v>3</v>
      </c>
      <c r="F5" s="15">
        <v>5.6250499999999999</v>
      </c>
      <c r="G5" s="1">
        <v>190</v>
      </c>
      <c r="H5" s="101">
        <f t="shared" si="2"/>
        <v>2.9605526315789474E-2</v>
      </c>
      <c r="I5" s="15">
        <v>6.4532870000000004</v>
      </c>
      <c r="J5" s="14">
        <v>3</v>
      </c>
      <c r="K5" s="14">
        <f t="shared" si="0"/>
        <v>2.151095666666667</v>
      </c>
      <c r="L5" s="14">
        <f t="shared" si="1"/>
        <v>72.658585553313614</v>
      </c>
      <c r="M5">
        <f t="shared" si="3"/>
        <v>0.91341641896673742</v>
      </c>
      <c r="N5">
        <f t="shared" si="4"/>
        <v>72.658585553313614</v>
      </c>
    </row>
    <row r="6" spans="2:14" ht="15" x14ac:dyDescent="0.2">
      <c r="B6" t="s">
        <v>217</v>
      </c>
      <c r="C6" s="10" t="s">
        <v>211</v>
      </c>
      <c r="D6" s="14">
        <v>0</v>
      </c>
      <c r="E6" s="14">
        <v>4</v>
      </c>
      <c r="F6" s="15">
        <v>5.9000300000000001</v>
      </c>
      <c r="G6" s="1">
        <v>190</v>
      </c>
      <c r="H6" s="101">
        <f t="shared" si="2"/>
        <v>3.1052789473684211E-2</v>
      </c>
      <c r="I6" s="15">
        <v>6.7279369999999998</v>
      </c>
      <c r="J6" s="14">
        <v>3</v>
      </c>
      <c r="K6" s="14">
        <f t="shared" si="0"/>
        <v>2.2426456666666668</v>
      </c>
      <c r="L6" s="14">
        <f t="shared" si="1"/>
        <v>72.220425432865028</v>
      </c>
      <c r="M6">
        <f t="shared" si="3"/>
        <v>0.952291153573956</v>
      </c>
      <c r="N6">
        <f t="shared" si="4"/>
        <v>72.220425432865028</v>
      </c>
    </row>
    <row r="7" spans="2:14" ht="15" x14ac:dyDescent="0.2">
      <c r="B7" t="s">
        <v>217</v>
      </c>
      <c r="C7" s="10" t="s">
        <v>211</v>
      </c>
      <c r="D7" s="14">
        <v>0</v>
      </c>
      <c r="E7" s="14">
        <v>5</v>
      </c>
      <c r="F7" s="15">
        <v>4.2500299999999998</v>
      </c>
      <c r="G7" s="1">
        <v>190</v>
      </c>
      <c r="H7" s="101">
        <f t="shared" si="2"/>
        <v>2.236857894736842E-2</v>
      </c>
      <c r="I7" s="15">
        <v>6.9937909999999999</v>
      </c>
      <c r="J7" s="14">
        <v>3</v>
      </c>
      <c r="K7" s="14">
        <f t="shared" si="0"/>
        <v>2.3312636666666666</v>
      </c>
      <c r="L7" s="14">
        <f t="shared" si="1"/>
        <v>104.22046354182598</v>
      </c>
      <c r="M7">
        <f t="shared" si="3"/>
        <v>0.98992087756546343</v>
      </c>
      <c r="N7">
        <f t="shared" si="4"/>
        <v>104.22046354182598</v>
      </c>
    </row>
    <row r="8" spans="2:14" ht="15" hidden="1" x14ac:dyDescent="0.2">
      <c r="B8" t="s">
        <v>217</v>
      </c>
      <c r="C8" s="10" t="s">
        <v>211</v>
      </c>
      <c r="D8" s="14">
        <v>30</v>
      </c>
      <c r="E8" s="14">
        <v>1</v>
      </c>
      <c r="F8" s="15">
        <v>2.7250700000000001</v>
      </c>
      <c r="G8" s="1">
        <v>190</v>
      </c>
      <c r="H8" s="101">
        <f t="shared" si="2"/>
        <v>1.4342473684210526E-2</v>
      </c>
      <c r="I8" s="15">
        <v>1.95225</v>
      </c>
      <c r="J8" s="14">
        <v>3</v>
      </c>
      <c r="K8" s="14">
        <f t="shared" si="0"/>
        <v>0.65075000000000005</v>
      </c>
      <c r="L8" s="14">
        <f t="shared" si="1"/>
        <v>45.372228970264985</v>
      </c>
      <c r="M8">
        <f t="shared" si="3"/>
        <v>0.27632696390658174</v>
      </c>
      <c r="N8">
        <f t="shared" si="4"/>
        <v>45.372228970264985</v>
      </c>
    </row>
    <row r="9" spans="2:14" ht="15" hidden="1" x14ac:dyDescent="0.2">
      <c r="B9" t="s">
        <v>217</v>
      </c>
      <c r="C9" s="10" t="s">
        <v>211</v>
      </c>
      <c r="D9" s="14">
        <v>30</v>
      </c>
      <c r="E9" s="14">
        <v>2</v>
      </c>
      <c r="F9" s="15">
        <v>5.5749599999999999</v>
      </c>
      <c r="G9" s="1">
        <v>190</v>
      </c>
      <c r="H9" s="101">
        <f t="shared" si="2"/>
        <v>2.9341894736842105E-2</v>
      </c>
      <c r="I9" s="15">
        <v>1.9460200000000001</v>
      </c>
      <c r="J9" s="14">
        <v>3</v>
      </c>
      <c r="K9" s="14">
        <f t="shared" si="0"/>
        <v>0.64867333333333332</v>
      </c>
      <c r="L9" s="14">
        <f t="shared" si="1"/>
        <v>22.107411234041738</v>
      </c>
      <c r="M9">
        <f t="shared" si="3"/>
        <v>0.27544515215852794</v>
      </c>
      <c r="N9">
        <f t="shared" si="4"/>
        <v>22.107411234041738</v>
      </c>
    </row>
    <row r="10" spans="2:14" ht="15" hidden="1" x14ac:dyDescent="0.2">
      <c r="B10" t="s">
        <v>217</v>
      </c>
      <c r="C10" s="10" t="s">
        <v>211</v>
      </c>
      <c r="D10" s="14">
        <v>30</v>
      </c>
      <c r="E10" s="14">
        <v>3</v>
      </c>
      <c r="F10" s="15">
        <v>4.4250499999999997</v>
      </c>
      <c r="G10" s="1">
        <v>190</v>
      </c>
      <c r="H10" s="101">
        <f t="shared" si="2"/>
        <v>2.3289736842105262E-2</v>
      </c>
      <c r="I10" s="15">
        <v>0.82677</v>
      </c>
      <c r="J10" s="14">
        <v>3</v>
      </c>
      <c r="K10" s="14">
        <f t="shared" si="0"/>
        <v>0.27559</v>
      </c>
      <c r="L10" s="14">
        <f t="shared" si="1"/>
        <v>11.833109230404176</v>
      </c>
      <c r="M10">
        <f t="shared" si="3"/>
        <v>0.11702335456475584</v>
      </c>
      <c r="N10">
        <f t="shared" si="4"/>
        <v>11.833109230404176</v>
      </c>
    </row>
    <row r="11" spans="2:14" ht="15" hidden="1" x14ac:dyDescent="0.2">
      <c r="B11" t="s">
        <v>217</v>
      </c>
      <c r="C11" s="10" t="s">
        <v>211</v>
      </c>
      <c r="D11" s="14">
        <v>30</v>
      </c>
      <c r="E11" s="14">
        <v>4</v>
      </c>
      <c r="F11" s="15">
        <v>6.4750699999999997</v>
      </c>
      <c r="G11" s="1">
        <v>190</v>
      </c>
      <c r="H11" s="101">
        <f t="shared" si="2"/>
        <v>3.407931578947368E-2</v>
      </c>
      <c r="I11" s="15">
        <v>5.7273800000000001</v>
      </c>
      <c r="J11" s="14">
        <v>3</v>
      </c>
      <c r="K11" s="14">
        <f t="shared" si="0"/>
        <v>1.9091266666666666</v>
      </c>
      <c r="L11" s="14">
        <f t="shared" si="1"/>
        <v>56.020099654006323</v>
      </c>
      <c r="M11">
        <f t="shared" si="3"/>
        <v>0.81066949752300066</v>
      </c>
      <c r="N11">
        <f t="shared" si="4"/>
        <v>56.020099654006323</v>
      </c>
    </row>
    <row r="12" spans="2:14" ht="15" hidden="1" x14ac:dyDescent="0.2">
      <c r="B12" t="s">
        <v>217</v>
      </c>
      <c r="C12" s="10" t="s">
        <v>211</v>
      </c>
      <c r="D12" s="14">
        <v>30</v>
      </c>
      <c r="E12" s="14">
        <v>5</v>
      </c>
      <c r="F12" s="15">
        <v>6.2249999999999996</v>
      </c>
      <c r="G12" s="1">
        <v>190</v>
      </c>
      <c r="H12" s="101">
        <f t="shared" si="2"/>
        <v>3.2763157894736841E-2</v>
      </c>
      <c r="I12" s="15">
        <v>6.8587699999999998</v>
      </c>
      <c r="J12" s="14">
        <v>3</v>
      </c>
      <c r="K12" s="14">
        <f t="shared" si="0"/>
        <v>2.2862566666666666</v>
      </c>
      <c r="L12" s="14">
        <f t="shared" si="1"/>
        <v>69.78132797858099</v>
      </c>
      <c r="M12">
        <f t="shared" si="3"/>
        <v>0.97080962491153566</v>
      </c>
      <c r="N12">
        <f t="shared" si="4"/>
        <v>69.78132797858099</v>
      </c>
    </row>
    <row r="13" spans="2:14" ht="15" hidden="1" x14ac:dyDescent="0.2">
      <c r="B13" t="s">
        <v>217</v>
      </c>
      <c r="C13" s="10" t="s">
        <v>211</v>
      </c>
      <c r="D13" s="14">
        <v>30</v>
      </c>
      <c r="E13" s="14">
        <v>6</v>
      </c>
      <c r="F13" s="15">
        <v>1.35005</v>
      </c>
      <c r="G13" s="1">
        <v>190</v>
      </c>
      <c r="H13" s="101">
        <f t="shared" si="2"/>
        <v>7.1055263157894736E-3</v>
      </c>
      <c r="I13" s="15">
        <v>4.2780899999999997</v>
      </c>
      <c r="J13" s="14">
        <v>3</v>
      </c>
      <c r="K13" s="14">
        <f t="shared" si="0"/>
        <v>1.4260299999999999</v>
      </c>
      <c r="L13" s="14">
        <f t="shared" si="1"/>
        <v>200.69308544127995</v>
      </c>
      <c r="M13">
        <f t="shared" si="3"/>
        <v>0.60553290870488319</v>
      </c>
      <c r="N13">
        <f t="shared" si="4"/>
        <v>200.69308544127995</v>
      </c>
    </row>
    <row r="14" spans="2:14" ht="15" hidden="1" x14ac:dyDescent="0.2">
      <c r="B14" t="s">
        <v>217</v>
      </c>
      <c r="C14" s="10" t="s">
        <v>211</v>
      </c>
      <c r="D14" s="14">
        <v>30</v>
      </c>
      <c r="E14" s="14">
        <v>7</v>
      </c>
      <c r="F14" s="15">
        <v>8.9249899999999993</v>
      </c>
      <c r="G14" s="1">
        <v>190</v>
      </c>
      <c r="H14" s="101">
        <f t="shared" si="2"/>
        <v>4.6973631578947364E-2</v>
      </c>
      <c r="I14" s="15">
        <v>11.23996</v>
      </c>
      <c r="J14" s="14">
        <v>3</v>
      </c>
      <c r="K14" s="14">
        <f t="shared" si="0"/>
        <v>3.7466533333333332</v>
      </c>
      <c r="L14" s="14">
        <f t="shared" si="1"/>
        <v>79.760776576033521</v>
      </c>
      <c r="M14">
        <f t="shared" si="3"/>
        <v>1.5909355980184006</v>
      </c>
      <c r="N14">
        <f t="shared" si="4"/>
        <v>79.760776576033521</v>
      </c>
    </row>
    <row r="15" spans="2:14" ht="15" hidden="1" x14ac:dyDescent="0.2">
      <c r="B15" t="s">
        <v>217</v>
      </c>
      <c r="C15" s="10" t="s">
        <v>211</v>
      </c>
      <c r="D15" s="14">
        <v>60</v>
      </c>
      <c r="E15" s="14">
        <v>1</v>
      </c>
      <c r="F15" s="15">
        <v>3.0000499999999999</v>
      </c>
      <c r="G15" s="1">
        <v>190</v>
      </c>
      <c r="H15" s="101">
        <f t="shared" si="2"/>
        <v>1.5789736842105263E-2</v>
      </c>
      <c r="I15" s="15">
        <v>5.45425</v>
      </c>
      <c r="J15" s="14">
        <v>3</v>
      </c>
      <c r="K15" s="14">
        <f t="shared" si="0"/>
        <v>1.8180833333333333</v>
      </c>
      <c r="L15" s="14">
        <f t="shared" si="1"/>
        <v>115.14335872179907</v>
      </c>
      <c r="M15">
        <f t="shared" si="3"/>
        <v>0.77200990799716906</v>
      </c>
      <c r="N15">
        <f t="shared" si="4"/>
        <v>115.14335872179907</v>
      </c>
    </row>
    <row r="16" spans="2:14" ht="15" hidden="1" x14ac:dyDescent="0.2">
      <c r="B16" t="s">
        <v>217</v>
      </c>
      <c r="C16" s="10" t="s">
        <v>211</v>
      </c>
      <c r="D16" s="14">
        <v>60</v>
      </c>
      <c r="E16" s="14">
        <v>2</v>
      </c>
      <c r="F16" s="15">
        <v>3.2999399999999999</v>
      </c>
      <c r="G16" s="1">
        <v>190</v>
      </c>
      <c r="H16" s="101">
        <f t="shared" si="2"/>
        <v>1.7368105263157893E-2</v>
      </c>
      <c r="I16" s="15">
        <v>2.5011299999999999</v>
      </c>
      <c r="J16" s="14">
        <v>3</v>
      </c>
      <c r="K16" s="14">
        <f t="shared" si="0"/>
        <v>0.83370999999999995</v>
      </c>
      <c r="L16" s="14">
        <f t="shared" si="1"/>
        <v>48.002357618623371</v>
      </c>
      <c r="M16">
        <f t="shared" si="3"/>
        <v>0.35401698513800423</v>
      </c>
      <c r="N16">
        <f t="shared" si="4"/>
        <v>48.002357618623371</v>
      </c>
    </row>
    <row r="17" spans="2:14" ht="15" hidden="1" x14ac:dyDescent="0.2">
      <c r="B17" t="s">
        <v>217</v>
      </c>
      <c r="C17" s="10" t="s">
        <v>211</v>
      </c>
      <c r="D17" s="14">
        <v>60</v>
      </c>
      <c r="E17" s="14">
        <v>3</v>
      </c>
      <c r="F17" s="15">
        <v>0.42509000000000002</v>
      </c>
      <c r="G17" s="1">
        <v>190</v>
      </c>
      <c r="H17" s="101">
        <f t="shared" si="2"/>
        <v>2.2373157894736845E-3</v>
      </c>
      <c r="I17" s="15">
        <v>1.1983999999999999</v>
      </c>
      <c r="J17" s="14">
        <v>3</v>
      </c>
      <c r="K17" s="14">
        <f t="shared" si="0"/>
        <v>0.39946666666666664</v>
      </c>
      <c r="L17" s="14">
        <f t="shared" si="1"/>
        <v>178.54728802528089</v>
      </c>
      <c r="M17">
        <f t="shared" si="3"/>
        <v>0.16962491153573953</v>
      </c>
      <c r="N17">
        <f t="shared" si="4"/>
        <v>178.54728802528089</v>
      </c>
    </row>
    <row r="18" spans="2:14" ht="15" hidden="1" x14ac:dyDescent="0.2">
      <c r="B18" t="s">
        <v>217</v>
      </c>
      <c r="C18" s="10" t="s">
        <v>211</v>
      </c>
      <c r="D18" s="14">
        <v>60</v>
      </c>
      <c r="E18" s="14">
        <v>4</v>
      </c>
      <c r="F18" s="15">
        <v>2.7749999999999999</v>
      </c>
      <c r="G18" s="1">
        <v>190</v>
      </c>
      <c r="H18" s="101">
        <f t="shared" si="2"/>
        <v>1.4605263157894736E-2</v>
      </c>
      <c r="I18" s="15">
        <v>2.7749999999999999</v>
      </c>
      <c r="J18" s="14">
        <v>3</v>
      </c>
      <c r="K18" s="14">
        <f t="shared" si="0"/>
        <v>0.92499999999999993</v>
      </c>
      <c r="L18" s="14">
        <f t="shared" si="1"/>
        <v>63.333333333333336</v>
      </c>
      <c r="M18">
        <f t="shared" si="3"/>
        <v>0.3927813163481953</v>
      </c>
      <c r="N18">
        <f t="shared" si="4"/>
        <v>63.333333333333336</v>
      </c>
    </row>
    <row r="19" spans="2:14" ht="15" hidden="1" x14ac:dyDescent="0.2">
      <c r="B19" t="s">
        <v>217</v>
      </c>
      <c r="C19" s="10" t="s">
        <v>211</v>
      </c>
      <c r="D19" s="14">
        <v>60</v>
      </c>
      <c r="E19" s="14">
        <v>5</v>
      </c>
      <c r="F19" s="15">
        <v>4.2250699999999997</v>
      </c>
      <c r="G19" s="1">
        <v>190</v>
      </c>
      <c r="H19" s="101">
        <f t="shared" si="2"/>
        <v>2.2237210526315786E-2</v>
      </c>
      <c r="I19" s="15">
        <v>9.9152799999999992</v>
      </c>
      <c r="J19" s="14">
        <v>3</v>
      </c>
      <c r="K19" s="14">
        <f t="shared" si="0"/>
        <v>3.3050933333333332</v>
      </c>
      <c r="L19" s="14">
        <f t="shared" si="1"/>
        <v>148.62895368202973</v>
      </c>
      <c r="M19">
        <f t="shared" si="3"/>
        <v>1.4034366595895256</v>
      </c>
      <c r="N19">
        <f t="shared" si="4"/>
        <v>148.62895368202973</v>
      </c>
    </row>
    <row r="20" spans="2:14" ht="15" hidden="1" x14ac:dyDescent="0.2">
      <c r="B20" t="s">
        <v>217</v>
      </c>
      <c r="C20" s="10" t="s">
        <v>211</v>
      </c>
      <c r="D20" s="14">
        <v>60</v>
      </c>
      <c r="E20" s="14">
        <v>6</v>
      </c>
      <c r="F20" s="15">
        <v>3.2749299999999999</v>
      </c>
      <c r="G20" s="1">
        <v>190</v>
      </c>
      <c r="H20" s="101">
        <f t="shared" si="2"/>
        <v>1.7236473684210527E-2</v>
      </c>
      <c r="I20" s="15">
        <v>1.02823</v>
      </c>
      <c r="J20" s="14">
        <v>3</v>
      </c>
      <c r="K20" s="14">
        <f>(I20/J20)</f>
        <v>0.34274333333333334</v>
      </c>
      <c r="L20" s="14">
        <f t="shared" si="1"/>
        <v>19.884771073987331</v>
      </c>
      <c r="M20">
        <f t="shared" si="3"/>
        <v>0.14553857041755131</v>
      </c>
      <c r="N20">
        <f t="shared" si="4"/>
        <v>19.884771073987331</v>
      </c>
    </row>
    <row r="21" spans="2:14" ht="15" hidden="1" x14ac:dyDescent="0.2">
      <c r="B21" s="10" t="s">
        <v>17</v>
      </c>
      <c r="C21" s="10" t="s">
        <v>211</v>
      </c>
      <c r="D21" s="14">
        <v>0</v>
      </c>
      <c r="E21" s="14">
        <v>1</v>
      </c>
      <c r="F21" s="16">
        <v>6.7249800000000004</v>
      </c>
      <c r="G21" s="14">
        <v>190</v>
      </c>
      <c r="H21" s="101">
        <f>(F21/G21)</f>
        <v>3.5394631578947372E-2</v>
      </c>
      <c r="I21" s="16">
        <v>19.301545000000001</v>
      </c>
      <c r="J21" s="14">
        <v>3</v>
      </c>
      <c r="K21" s="14">
        <f>(I21/J21)</f>
        <v>6.4338483333333336</v>
      </c>
      <c r="L21" s="14">
        <f>(K21/H21)</f>
        <v>181.77469424940048</v>
      </c>
      <c r="M21">
        <f>I21/(0.785*(J21*J21))</f>
        <v>2.7319950460014155</v>
      </c>
      <c r="N21">
        <f t="shared" si="4"/>
        <v>181.77469424940048</v>
      </c>
    </row>
    <row r="22" spans="2:14" ht="15" hidden="1" x14ac:dyDescent="0.2">
      <c r="B22" s="10" t="s">
        <v>17</v>
      </c>
      <c r="C22" s="10" t="s">
        <v>211</v>
      </c>
      <c r="D22" s="14">
        <v>0</v>
      </c>
      <c r="E22" s="14">
        <v>2</v>
      </c>
      <c r="F22" s="16">
        <v>9.9999599999999997</v>
      </c>
      <c r="G22" s="14">
        <v>190</v>
      </c>
      <c r="H22" s="101">
        <f t="shared" si="2"/>
        <v>5.2631368421052628E-2</v>
      </c>
      <c r="I22" s="16">
        <v>24.890765999999999</v>
      </c>
      <c r="J22" s="14">
        <v>3</v>
      </c>
      <c r="K22" s="14">
        <f t="shared" si="0"/>
        <v>8.2969220000000004</v>
      </c>
      <c r="L22" s="14">
        <f t="shared" si="1"/>
        <v>157.64214856859428</v>
      </c>
      <c r="M22">
        <f>I22/(0.785*(J22*J22))</f>
        <v>3.5231091295116772</v>
      </c>
      <c r="N22">
        <f t="shared" si="4"/>
        <v>157.64214856859428</v>
      </c>
    </row>
    <row r="23" spans="2:14" ht="15" hidden="1" x14ac:dyDescent="0.2">
      <c r="B23" s="10" t="s">
        <v>17</v>
      </c>
      <c r="C23" s="10" t="s">
        <v>211</v>
      </c>
      <c r="D23" s="14">
        <v>0</v>
      </c>
      <c r="E23" s="14">
        <v>3</v>
      </c>
      <c r="F23" s="16">
        <v>10.37496</v>
      </c>
      <c r="G23" s="14">
        <v>190</v>
      </c>
      <c r="H23" s="101">
        <f t="shared" si="2"/>
        <v>5.4605052631578943E-2</v>
      </c>
      <c r="I23" s="16">
        <v>14.204086</v>
      </c>
      <c r="J23" s="14">
        <v>3</v>
      </c>
      <c r="K23" s="14">
        <f t="shared" si="0"/>
        <v>4.7346953333333337</v>
      </c>
      <c r="L23" s="14">
        <f t="shared" si="1"/>
        <v>86.708007870231157</v>
      </c>
      <c r="M23">
        <f t="shared" si="3"/>
        <v>2.0104863411181881</v>
      </c>
      <c r="N23">
        <f t="shared" si="4"/>
        <v>86.708007870231157</v>
      </c>
    </row>
    <row r="24" spans="2:14" ht="15" hidden="1" x14ac:dyDescent="0.2">
      <c r="B24" s="10" t="s">
        <v>17</v>
      </c>
      <c r="C24" s="10" t="s">
        <v>211</v>
      </c>
      <c r="D24" s="14">
        <v>0</v>
      </c>
      <c r="E24" s="14">
        <v>4</v>
      </c>
      <c r="F24" s="16">
        <v>3.40002</v>
      </c>
      <c r="G24" s="14">
        <v>190</v>
      </c>
      <c r="H24" s="101">
        <f t="shared" si="2"/>
        <v>1.7894842105263157E-2</v>
      </c>
      <c r="I24" s="16">
        <v>6.7880229999999999</v>
      </c>
      <c r="J24" s="14">
        <v>3</v>
      </c>
      <c r="K24" s="14">
        <f t="shared" si="0"/>
        <v>2.2626743333333335</v>
      </c>
      <c r="L24" s="14">
        <f t="shared" si="1"/>
        <v>126.44282190496919</v>
      </c>
      <c r="M24">
        <f t="shared" si="3"/>
        <v>0.96079589525831555</v>
      </c>
      <c r="N24">
        <f t="shared" si="4"/>
        <v>126.44282190496919</v>
      </c>
    </row>
    <row r="25" spans="2:14" ht="15" hidden="1" x14ac:dyDescent="0.2">
      <c r="B25" s="10" t="s">
        <v>17</v>
      </c>
      <c r="C25" s="10" t="s">
        <v>211</v>
      </c>
      <c r="D25" s="14">
        <v>0</v>
      </c>
      <c r="E25" s="14">
        <v>5</v>
      </c>
      <c r="F25" s="16">
        <v>6.5000299999999998</v>
      </c>
      <c r="G25" s="14">
        <v>190</v>
      </c>
      <c r="H25" s="101">
        <f t="shared" si="2"/>
        <v>3.4210684210526317E-2</v>
      </c>
      <c r="I25" s="16">
        <v>17.030127</v>
      </c>
      <c r="J25" s="14">
        <v>3</v>
      </c>
      <c r="K25" s="14">
        <f t="shared" si="0"/>
        <v>5.6767089999999998</v>
      </c>
      <c r="L25" s="14">
        <f t="shared" si="1"/>
        <v>165.93380492090034</v>
      </c>
      <c r="M25">
        <f t="shared" si="3"/>
        <v>2.4104921443736731</v>
      </c>
      <c r="N25">
        <f t="shared" si="4"/>
        <v>165.93380492090034</v>
      </c>
    </row>
    <row r="26" spans="2:14" ht="15" hidden="1" x14ac:dyDescent="0.2">
      <c r="B26" s="10" t="s">
        <v>17</v>
      </c>
      <c r="C26" s="10" t="s">
        <v>211</v>
      </c>
      <c r="D26" s="11">
        <v>30</v>
      </c>
      <c r="E26" s="14">
        <v>1</v>
      </c>
      <c r="F26" s="16">
        <v>4.2750500000000002</v>
      </c>
      <c r="G26" s="14">
        <v>190</v>
      </c>
      <c r="H26" s="101">
        <f>(F26/G26)</f>
        <v>2.2500263157894738E-2</v>
      </c>
      <c r="I26" s="16">
        <v>9.9211799999999997</v>
      </c>
      <c r="J26" s="14">
        <v>3</v>
      </c>
      <c r="K26" s="14">
        <f t="shared" si="0"/>
        <v>3.3070599999999999</v>
      </c>
      <c r="L26" s="14">
        <f t="shared" si="1"/>
        <v>146.97872539502461</v>
      </c>
      <c r="M26">
        <f t="shared" si="3"/>
        <v>1.4042717622080678</v>
      </c>
      <c r="N26">
        <f t="shared" si="4"/>
        <v>146.97872539502461</v>
      </c>
    </row>
    <row r="27" spans="2:14" ht="15" hidden="1" x14ac:dyDescent="0.2">
      <c r="B27" s="10" t="s">
        <v>17</v>
      </c>
      <c r="C27" s="10" t="s">
        <v>211</v>
      </c>
      <c r="D27" s="11">
        <v>30</v>
      </c>
      <c r="E27" s="14">
        <v>2</v>
      </c>
      <c r="F27" s="16">
        <v>3.40002</v>
      </c>
      <c r="G27" s="14">
        <v>190</v>
      </c>
      <c r="H27" s="101">
        <f t="shared" si="2"/>
        <v>1.7894842105263157E-2</v>
      </c>
      <c r="I27" s="16">
        <v>9.7990110000000001</v>
      </c>
      <c r="J27" s="14">
        <v>3</v>
      </c>
      <c r="K27" s="14">
        <f t="shared" si="0"/>
        <v>3.266337</v>
      </c>
      <c r="L27" s="14">
        <f t="shared" si="1"/>
        <v>182.52952335574497</v>
      </c>
      <c r="M27">
        <f t="shared" si="3"/>
        <v>1.3869796178343949</v>
      </c>
      <c r="N27">
        <f t="shared" si="4"/>
        <v>182.52952335574497</v>
      </c>
    </row>
    <row r="28" spans="2:14" ht="15" hidden="1" x14ac:dyDescent="0.2">
      <c r="B28" s="10" t="s">
        <v>17</v>
      </c>
      <c r="C28" s="10" t="s">
        <v>211</v>
      </c>
      <c r="D28" s="11">
        <v>30</v>
      </c>
      <c r="E28" s="14">
        <v>3</v>
      </c>
      <c r="F28" s="16">
        <v>2.4500899999999999</v>
      </c>
      <c r="G28" s="14">
        <v>190</v>
      </c>
      <c r="H28" s="101">
        <f t="shared" si="2"/>
        <v>1.2895210526315789E-2</v>
      </c>
      <c r="I28" s="16">
        <v>13.497540000000001</v>
      </c>
      <c r="J28" s="14">
        <v>3</v>
      </c>
      <c r="K28" s="14">
        <f>(I28/J28)</f>
        <v>4.49918</v>
      </c>
      <c r="L28" s="14">
        <f t="shared" si="1"/>
        <v>348.90318314837418</v>
      </c>
      <c r="M28">
        <f t="shared" si="3"/>
        <v>1.9104798301486199</v>
      </c>
      <c r="N28">
        <f t="shared" si="4"/>
        <v>348.90318314837418</v>
      </c>
    </row>
    <row r="29" spans="2:14" ht="15" hidden="1" x14ac:dyDescent="0.2">
      <c r="B29" s="10" t="s">
        <v>17</v>
      </c>
      <c r="C29" s="10" t="s">
        <v>211</v>
      </c>
      <c r="D29" s="11">
        <v>30</v>
      </c>
      <c r="E29" s="14">
        <v>4</v>
      </c>
      <c r="F29" s="16">
        <v>3.55002</v>
      </c>
      <c r="G29" s="14">
        <v>190</v>
      </c>
      <c r="H29" s="101">
        <f t="shared" si="2"/>
        <v>1.8684315789473684E-2</v>
      </c>
      <c r="I29" s="16">
        <v>7.1538500000000003</v>
      </c>
      <c r="J29" s="14">
        <v>3</v>
      </c>
      <c r="K29" s="14">
        <f t="shared" si="0"/>
        <v>2.3846166666666666</v>
      </c>
      <c r="L29" s="14">
        <f t="shared" si="1"/>
        <v>127.62665186862796</v>
      </c>
      <c r="M29">
        <f t="shared" si="3"/>
        <v>1.0125760792639773</v>
      </c>
      <c r="N29">
        <f t="shared" si="4"/>
        <v>127.62665186862796</v>
      </c>
    </row>
    <row r="30" spans="2:14" ht="15" hidden="1" x14ac:dyDescent="0.2">
      <c r="B30" s="10" t="s">
        <v>17</v>
      </c>
      <c r="C30" s="10" t="s">
        <v>211</v>
      </c>
      <c r="D30" s="11">
        <v>30</v>
      </c>
      <c r="E30" s="14">
        <v>5</v>
      </c>
      <c r="F30" s="16">
        <v>14.14997</v>
      </c>
      <c r="G30" s="14">
        <v>190</v>
      </c>
      <c r="H30" s="101">
        <f t="shared" si="2"/>
        <v>7.4473526315789476E-2</v>
      </c>
      <c r="I30" s="16">
        <v>8.0242500000000003</v>
      </c>
      <c r="J30" s="14">
        <v>3</v>
      </c>
      <c r="K30" s="14">
        <f t="shared" si="0"/>
        <v>2.67475</v>
      </c>
      <c r="L30" s="14">
        <f t="shared" si="1"/>
        <v>35.915447170559368</v>
      </c>
      <c r="M30">
        <f t="shared" si="3"/>
        <v>1.1357749469214438</v>
      </c>
      <c r="N30">
        <f t="shared" si="4"/>
        <v>35.915447170559368</v>
      </c>
    </row>
    <row r="31" spans="2:14" ht="15" hidden="1" x14ac:dyDescent="0.2">
      <c r="B31" s="10" t="s">
        <v>17</v>
      </c>
      <c r="C31" s="10" t="s">
        <v>211</v>
      </c>
      <c r="D31" s="11">
        <v>30</v>
      </c>
      <c r="E31" s="14">
        <v>6</v>
      </c>
      <c r="F31" s="16">
        <v>3.0999099999999999</v>
      </c>
      <c r="G31" s="14">
        <v>190</v>
      </c>
      <c r="H31" s="101">
        <f t="shared" si="2"/>
        <v>1.6315315789473685E-2</v>
      </c>
      <c r="I31" s="16">
        <v>19.250299999999999</v>
      </c>
      <c r="J31" s="14">
        <v>3</v>
      </c>
      <c r="K31" s="14">
        <f t="shared" si="0"/>
        <v>6.4167666666666667</v>
      </c>
      <c r="L31" s="14">
        <f t="shared" si="1"/>
        <v>393.2971172281346</v>
      </c>
      <c r="M31">
        <f t="shared" si="3"/>
        <v>2.7247416843595187</v>
      </c>
      <c r="N31">
        <f t="shared" si="4"/>
        <v>393.2971172281346</v>
      </c>
    </row>
    <row r="32" spans="2:14" ht="15" hidden="1" x14ac:dyDescent="0.2">
      <c r="B32" s="10" t="s">
        <v>17</v>
      </c>
      <c r="C32" s="10" t="s">
        <v>211</v>
      </c>
      <c r="D32" s="11">
        <v>30</v>
      </c>
      <c r="E32" s="14">
        <v>7</v>
      </c>
      <c r="F32" s="16">
        <v>5.9750300000000003</v>
      </c>
      <c r="G32" s="14">
        <v>190</v>
      </c>
      <c r="H32" s="101">
        <f t="shared" si="2"/>
        <v>3.1447526315789474E-2</v>
      </c>
      <c r="I32" s="16">
        <v>9.9737500000000008</v>
      </c>
      <c r="J32" s="14">
        <v>3</v>
      </c>
      <c r="K32" s="14">
        <f t="shared" si="0"/>
        <v>3.3245833333333334</v>
      </c>
      <c r="L32" s="14">
        <f t="shared" si="1"/>
        <v>105.71843711802842</v>
      </c>
      <c r="M32">
        <f t="shared" si="3"/>
        <v>1.4117126680820948</v>
      </c>
      <c r="N32">
        <f t="shared" si="4"/>
        <v>105.71843711802842</v>
      </c>
    </row>
    <row r="33" spans="2:14" ht="15" hidden="1" x14ac:dyDescent="0.2">
      <c r="B33" s="10" t="s">
        <v>17</v>
      </c>
      <c r="C33" s="10" t="s">
        <v>211</v>
      </c>
      <c r="D33" s="14">
        <v>60</v>
      </c>
      <c r="E33" s="14">
        <v>1</v>
      </c>
      <c r="F33" s="16">
        <v>2.3750300000000002</v>
      </c>
      <c r="G33" s="14">
        <v>190</v>
      </c>
      <c r="H33" s="101">
        <f t="shared" si="2"/>
        <v>1.2500157894736843E-2</v>
      </c>
      <c r="I33" s="16">
        <v>3.21183</v>
      </c>
      <c r="J33" s="14">
        <v>3</v>
      </c>
      <c r="K33" s="14">
        <f t="shared" si="0"/>
        <v>1.0706100000000001</v>
      </c>
      <c r="L33" s="14">
        <f t="shared" si="1"/>
        <v>85.64771813408673</v>
      </c>
      <c r="M33">
        <f t="shared" si="3"/>
        <v>0.45461146496815286</v>
      </c>
      <c r="N33">
        <f t="shared" si="4"/>
        <v>85.64771813408673</v>
      </c>
    </row>
    <row r="34" spans="2:14" ht="15" hidden="1" x14ac:dyDescent="0.2">
      <c r="B34" s="10" t="s">
        <v>17</v>
      </c>
      <c r="C34" s="10" t="s">
        <v>211</v>
      </c>
      <c r="D34" s="14">
        <v>60</v>
      </c>
      <c r="E34" s="14">
        <v>2</v>
      </c>
      <c r="F34" s="16">
        <v>2.27502</v>
      </c>
      <c r="G34" s="14">
        <v>190</v>
      </c>
      <c r="H34" s="101">
        <f t="shared" si="2"/>
        <v>1.197378947368421E-2</v>
      </c>
      <c r="I34" s="16">
        <v>4.0510200000000003</v>
      </c>
      <c r="J34" s="14">
        <v>3</v>
      </c>
      <c r="K34" s="14">
        <f t="shared" si="0"/>
        <v>1.3503400000000001</v>
      </c>
      <c r="L34" s="14">
        <f t="shared" si="1"/>
        <v>112.77465692609297</v>
      </c>
      <c r="M34">
        <f t="shared" si="3"/>
        <v>0.57339278131634819</v>
      </c>
      <c r="N34">
        <f t="shared" si="4"/>
        <v>112.77465692609297</v>
      </c>
    </row>
    <row r="35" spans="2:14" ht="15" hidden="1" x14ac:dyDescent="0.2">
      <c r="B35" s="10" t="s">
        <v>17</v>
      </c>
      <c r="C35" s="10" t="s">
        <v>211</v>
      </c>
      <c r="D35" s="14">
        <v>60</v>
      </c>
      <c r="E35" s="14">
        <v>3</v>
      </c>
      <c r="F35" s="16">
        <v>1.35005</v>
      </c>
      <c r="G35" s="14">
        <v>190</v>
      </c>
      <c r="H35" s="101">
        <f t="shared" si="2"/>
        <v>7.1055263157894736E-3</v>
      </c>
      <c r="I35" s="16">
        <v>2.2408100000000002</v>
      </c>
      <c r="J35" s="14">
        <v>3</v>
      </c>
      <c r="K35" s="14">
        <f t="shared" si="0"/>
        <v>0.74693666666666669</v>
      </c>
      <c r="L35" s="14">
        <f t="shared" si="1"/>
        <v>105.12052640025678</v>
      </c>
      <c r="M35">
        <f t="shared" si="3"/>
        <v>0.317170559094126</v>
      </c>
      <c r="N35">
        <f t="shared" si="4"/>
        <v>105.12052640025678</v>
      </c>
    </row>
    <row r="36" spans="2:14" ht="15" hidden="1" x14ac:dyDescent="0.2">
      <c r="B36" s="10" t="s">
        <v>17</v>
      </c>
      <c r="C36" s="10" t="s">
        <v>211</v>
      </c>
      <c r="D36" s="14">
        <v>60</v>
      </c>
      <c r="E36" s="14">
        <v>4</v>
      </c>
      <c r="F36" s="16">
        <v>0.85002</v>
      </c>
      <c r="G36" s="14">
        <v>190</v>
      </c>
      <c r="H36" s="101">
        <f t="shared" si="2"/>
        <v>4.4737894736842105E-3</v>
      </c>
      <c r="I36" s="16">
        <v>0.86570999999999998</v>
      </c>
      <c r="J36" s="14">
        <v>3</v>
      </c>
      <c r="K36" s="14">
        <f t="shared" si="0"/>
        <v>0.28856999999999999</v>
      </c>
      <c r="L36" s="14">
        <f t="shared" si="1"/>
        <v>64.502364650243521</v>
      </c>
      <c r="M36">
        <f t="shared" si="3"/>
        <v>0.12253503184713375</v>
      </c>
      <c r="N36">
        <f t="shared" si="4"/>
        <v>64.502364650243521</v>
      </c>
    </row>
    <row r="37" spans="2:14" ht="15" hidden="1" x14ac:dyDescent="0.2">
      <c r="B37" s="10" t="s">
        <v>17</v>
      </c>
      <c r="C37" s="10" t="s">
        <v>211</v>
      </c>
      <c r="D37" s="14">
        <v>60</v>
      </c>
      <c r="E37" s="14">
        <v>5</v>
      </c>
      <c r="F37" s="16">
        <v>2.2749600000000001</v>
      </c>
      <c r="G37" s="14">
        <v>190</v>
      </c>
      <c r="H37" s="101">
        <f t="shared" si="2"/>
        <v>1.1973473684210527E-2</v>
      </c>
      <c r="I37" s="16">
        <v>9.1567299999999996</v>
      </c>
      <c r="J37" s="14">
        <v>3</v>
      </c>
      <c r="K37" s="14">
        <f t="shared" si="0"/>
        <v>3.0522433333333332</v>
      </c>
      <c r="L37" s="14">
        <f t="shared" si="1"/>
        <v>254.91711209574379</v>
      </c>
      <c r="M37">
        <f t="shared" si="3"/>
        <v>1.2960693559801839</v>
      </c>
      <c r="N37">
        <f t="shared" si="4"/>
        <v>254.91711209574379</v>
      </c>
    </row>
    <row r="38" spans="2:14" ht="15" hidden="1" x14ac:dyDescent="0.2">
      <c r="B38" s="10" t="s">
        <v>17</v>
      </c>
      <c r="C38" s="10" t="s">
        <v>211</v>
      </c>
      <c r="D38" s="14">
        <v>60</v>
      </c>
      <c r="E38" s="14">
        <v>6</v>
      </c>
      <c r="F38" s="16">
        <v>3.7499400000000001</v>
      </c>
      <c r="G38" s="14">
        <v>190</v>
      </c>
      <c r="H38" s="101">
        <f t="shared" si="2"/>
        <v>1.9736526315789475E-2</v>
      </c>
      <c r="I38" s="16">
        <v>4.1996399999999996</v>
      </c>
      <c r="J38" s="14">
        <v>3</v>
      </c>
      <c r="K38" s="14">
        <f t="shared" si="0"/>
        <v>1.3998799999999998</v>
      </c>
      <c r="L38" s="14">
        <f t="shared" si="1"/>
        <v>70.928388187544314</v>
      </c>
      <c r="M38">
        <f t="shared" si="3"/>
        <v>0.59442887473460715</v>
      </c>
      <c r="N38">
        <f t="shared" si="4"/>
        <v>70.928388187544314</v>
      </c>
    </row>
    <row r="39" spans="2:14" ht="15" hidden="1" x14ac:dyDescent="0.2">
      <c r="B39" s="10" t="s">
        <v>17</v>
      </c>
      <c r="C39" s="10" t="s">
        <v>211</v>
      </c>
      <c r="D39" s="14">
        <v>60</v>
      </c>
      <c r="E39" s="14">
        <v>7</v>
      </c>
      <c r="F39" s="16">
        <v>7.7749800000000002</v>
      </c>
      <c r="G39" s="14">
        <v>190</v>
      </c>
      <c r="H39" s="101">
        <f t="shared" si="2"/>
        <v>4.0920947368421057E-2</v>
      </c>
      <c r="I39" s="16">
        <v>5.4542599999999997</v>
      </c>
      <c r="J39" s="14">
        <v>3</v>
      </c>
      <c r="K39" s="14">
        <f t="shared" si="0"/>
        <v>1.8180866666666666</v>
      </c>
      <c r="L39" s="14">
        <f t="shared" si="1"/>
        <v>44.429241832990776</v>
      </c>
      <c r="M39">
        <f t="shared" si="3"/>
        <v>0.77201132342533607</v>
      </c>
      <c r="N39">
        <f t="shared" si="4"/>
        <v>44.429241832990776</v>
      </c>
    </row>
    <row r="40" spans="2:14" ht="15" hidden="1" x14ac:dyDescent="0.2">
      <c r="B40" s="10" t="s">
        <v>17</v>
      </c>
      <c r="C40" s="10" t="s">
        <v>211</v>
      </c>
      <c r="D40" s="11">
        <v>90</v>
      </c>
      <c r="E40" s="14">
        <v>1</v>
      </c>
      <c r="F40" s="16">
        <v>2.1750500000000001</v>
      </c>
      <c r="G40" s="14">
        <v>190</v>
      </c>
      <c r="H40" s="101">
        <f t="shared" si="2"/>
        <v>1.1447631578947369E-2</v>
      </c>
      <c r="I40" s="16">
        <v>5.1964499999999996</v>
      </c>
      <c r="J40" s="14">
        <v>3</v>
      </c>
      <c r="K40" s="14">
        <f t="shared" si="0"/>
        <v>1.7321499999999999</v>
      </c>
      <c r="L40" s="14">
        <f t="shared" si="1"/>
        <v>151.31077446495482</v>
      </c>
      <c r="M40">
        <f t="shared" si="3"/>
        <v>0.73552016985137991</v>
      </c>
      <c r="N40">
        <f t="shared" si="4"/>
        <v>151.31077446495482</v>
      </c>
    </row>
    <row r="41" spans="2:14" ht="15" hidden="1" x14ac:dyDescent="0.2">
      <c r="B41" s="10" t="s">
        <v>17</v>
      </c>
      <c r="C41" s="10" t="s">
        <v>211</v>
      </c>
      <c r="D41" s="11">
        <v>90</v>
      </c>
      <c r="E41" s="14">
        <v>2</v>
      </c>
      <c r="F41" s="16">
        <v>0.70006999999999997</v>
      </c>
      <c r="G41" s="14">
        <v>190</v>
      </c>
      <c r="H41" s="101">
        <f t="shared" si="2"/>
        <v>3.6845789473684211E-3</v>
      </c>
      <c r="I41" s="16">
        <v>2.0269300000000001</v>
      </c>
      <c r="J41" s="14">
        <v>3</v>
      </c>
      <c r="K41" s="14">
        <f t="shared" si="0"/>
        <v>0.67564333333333337</v>
      </c>
      <c r="L41" s="14">
        <f t="shared" si="1"/>
        <v>183.37056770513425</v>
      </c>
      <c r="M41">
        <f t="shared" si="3"/>
        <v>0.28689738145789101</v>
      </c>
      <c r="N41">
        <f t="shared" si="4"/>
        <v>183.37056770513425</v>
      </c>
    </row>
    <row r="42" spans="2:14" ht="15" hidden="1" x14ac:dyDescent="0.2">
      <c r="B42" s="10" t="s">
        <v>17</v>
      </c>
      <c r="C42" s="10" t="s">
        <v>211</v>
      </c>
      <c r="D42" s="11">
        <v>90</v>
      </c>
      <c r="E42" s="14">
        <v>3</v>
      </c>
      <c r="F42" s="16">
        <v>1.32498</v>
      </c>
      <c r="G42" s="14">
        <v>190</v>
      </c>
      <c r="H42" s="101">
        <f t="shared" si="2"/>
        <v>6.9735789473684209E-3</v>
      </c>
      <c r="I42" s="16">
        <v>1.53739</v>
      </c>
      <c r="J42" s="14">
        <v>3</v>
      </c>
      <c r="K42" s="14">
        <f t="shared" si="0"/>
        <v>0.51246333333333338</v>
      </c>
      <c r="L42" s="14">
        <f t="shared" si="1"/>
        <v>73.486417405042602</v>
      </c>
      <c r="M42">
        <f t="shared" si="3"/>
        <v>0.21760651096956829</v>
      </c>
      <c r="N42">
        <f t="shared" si="4"/>
        <v>73.486417405042602</v>
      </c>
    </row>
    <row r="43" spans="2:14" ht="15" hidden="1" x14ac:dyDescent="0.2">
      <c r="B43" s="10" t="s">
        <v>17</v>
      </c>
      <c r="C43" s="10" t="s">
        <v>211</v>
      </c>
      <c r="D43" s="11">
        <v>90</v>
      </c>
      <c r="E43" s="14">
        <v>4</v>
      </c>
      <c r="F43" s="16">
        <v>1.4499599999999999</v>
      </c>
      <c r="G43" s="14">
        <v>190</v>
      </c>
      <c r="H43" s="101">
        <f t="shared" si="2"/>
        <v>7.6313684210526315E-3</v>
      </c>
      <c r="I43" s="16">
        <v>2.22424</v>
      </c>
      <c r="J43" s="14">
        <v>3</v>
      </c>
      <c r="K43" s="14">
        <f t="shared" si="0"/>
        <v>0.74141333333333337</v>
      </c>
      <c r="L43" s="14">
        <f t="shared" si="1"/>
        <v>97.15339273727092</v>
      </c>
      <c r="M43">
        <f t="shared" si="3"/>
        <v>0.31482519462137293</v>
      </c>
      <c r="N43">
        <f t="shared" si="4"/>
        <v>97.15339273727092</v>
      </c>
    </row>
    <row r="44" spans="2:14" ht="15" hidden="1" x14ac:dyDescent="0.2">
      <c r="B44" s="10" t="s">
        <v>17</v>
      </c>
      <c r="C44" s="10" t="s">
        <v>211</v>
      </c>
      <c r="D44" s="11">
        <v>90</v>
      </c>
      <c r="E44" s="14">
        <v>5</v>
      </c>
      <c r="F44" s="16">
        <v>0.97504999999999997</v>
      </c>
      <c r="G44" s="14">
        <v>190</v>
      </c>
      <c r="H44" s="101">
        <f t="shared" si="2"/>
        <v>5.1318421052631577E-3</v>
      </c>
      <c r="I44" s="16">
        <v>7.1996900000000004</v>
      </c>
      <c r="J44" s="14">
        <v>3</v>
      </c>
      <c r="K44" s="14">
        <f t="shared" si="0"/>
        <v>2.3998966666666668</v>
      </c>
      <c r="L44" s="14">
        <f t="shared" si="1"/>
        <v>467.64818898176168</v>
      </c>
      <c r="M44">
        <f t="shared" si="3"/>
        <v>1.0190644019815995</v>
      </c>
      <c r="N44">
        <f t="shared" si="4"/>
        <v>467.64818898176168</v>
      </c>
    </row>
    <row r="45" spans="2:14" ht="15" hidden="1" x14ac:dyDescent="0.2">
      <c r="B45" s="10" t="s">
        <v>17</v>
      </c>
      <c r="C45" s="10" t="s">
        <v>211</v>
      </c>
      <c r="D45" s="11">
        <v>90</v>
      </c>
      <c r="E45" s="14">
        <v>6</v>
      </c>
      <c r="F45" s="16">
        <v>0.19986999999999999</v>
      </c>
      <c r="G45" s="14">
        <v>190</v>
      </c>
      <c r="H45" s="101">
        <f t="shared" si="2"/>
        <v>1.0519473684210527E-3</v>
      </c>
      <c r="I45" s="16">
        <v>5.5222800000000003</v>
      </c>
      <c r="J45" s="14">
        <v>3</v>
      </c>
      <c r="K45" s="14">
        <f t="shared" si="0"/>
        <v>1.8407600000000002</v>
      </c>
      <c r="L45" s="14">
        <f t="shared" si="1"/>
        <v>1749.8594086156002</v>
      </c>
      <c r="M45">
        <f t="shared" si="3"/>
        <v>0.78163906581740972</v>
      </c>
      <c r="N45">
        <f t="shared" si="4"/>
        <v>1749.8594086156002</v>
      </c>
    </row>
    <row r="46" spans="2:14" ht="15" hidden="1" x14ac:dyDescent="0.2">
      <c r="B46" s="10" t="s">
        <v>17</v>
      </c>
      <c r="C46" s="10" t="s">
        <v>211</v>
      </c>
      <c r="D46" s="11">
        <v>90</v>
      </c>
      <c r="E46" s="14">
        <v>7</v>
      </c>
      <c r="F46" s="16">
        <v>1.8</v>
      </c>
      <c r="G46" s="14">
        <v>190</v>
      </c>
      <c r="H46" s="101">
        <f t="shared" si="2"/>
        <v>9.4736842105263164E-3</v>
      </c>
      <c r="I46" s="16">
        <v>4.86076</v>
      </c>
      <c r="J46" s="14">
        <v>3</v>
      </c>
      <c r="K46" s="14">
        <f t="shared" si="0"/>
        <v>1.6202533333333333</v>
      </c>
      <c r="L46" s="14">
        <f t="shared" si="1"/>
        <v>171.02674074074073</v>
      </c>
      <c r="M46">
        <f t="shared" si="3"/>
        <v>0.68800566171266808</v>
      </c>
      <c r="N46">
        <f t="shared" si="4"/>
        <v>171.02674074074073</v>
      </c>
    </row>
    <row r="47" spans="2:14" ht="15" hidden="1" x14ac:dyDescent="0.2">
      <c r="B47" s="10" t="s">
        <v>17</v>
      </c>
      <c r="C47" s="10" t="s">
        <v>211</v>
      </c>
      <c r="D47" s="11">
        <v>120</v>
      </c>
      <c r="E47" s="14">
        <v>1</v>
      </c>
      <c r="F47" s="16">
        <v>0.42492999999999997</v>
      </c>
      <c r="G47" s="14">
        <v>190</v>
      </c>
      <c r="H47" s="101">
        <f>(F47/G47)</f>
        <v>2.236473684210526E-3</v>
      </c>
      <c r="I47" s="16">
        <v>1.8669</v>
      </c>
      <c r="J47" s="14">
        <v>3</v>
      </c>
      <c r="K47" s="14">
        <f t="shared" si="0"/>
        <v>0.62229999999999996</v>
      </c>
      <c r="L47" s="14">
        <f t="shared" si="1"/>
        <v>278.25053538229827</v>
      </c>
      <c r="M47">
        <f t="shared" si="3"/>
        <v>0.26424628450106158</v>
      </c>
      <c r="N47">
        <f t="shared" si="4"/>
        <v>278.25053538229827</v>
      </c>
    </row>
    <row r="48" spans="2:14" ht="15" hidden="1" x14ac:dyDescent="0.2">
      <c r="B48" s="10" t="s">
        <v>17</v>
      </c>
      <c r="C48" s="10" t="s">
        <v>211</v>
      </c>
      <c r="D48" s="11">
        <v>120</v>
      </c>
      <c r="E48" s="14">
        <v>2</v>
      </c>
      <c r="F48" s="16">
        <v>1.875</v>
      </c>
      <c r="G48" s="14">
        <v>190</v>
      </c>
      <c r="H48" s="101">
        <f t="shared" si="2"/>
        <v>9.8684210526315784E-3</v>
      </c>
      <c r="I48" s="16">
        <v>4.3463799999999999</v>
      </c>
      <c r="J48" s="14">
        <v>3</v>
      </c>
      <c r="K48" s="14">
        <f t="shared" si="0"/>
        <v>1.4487933333333334</v>
      </c>
      <c r="L48" s="14">
        <f t="shared" si="1"/>
        <v>146.81105777777779</v>
      </c>
      <c r="M48">
        <f t="shared" si="3"/>
        <v>0.61519886765746634</v>
      </c>
      <c r="N48">
        <f t="shared" si="4"/>
        <v>146.81105777777779</v>
      </c>
    </row>
    <row r="49" spans="2:14" ht="15" hidden="1" x14ac:dyDescent="0.2">
      <c r="B49" s="10" t="s">
        <v>17</v>
      </c>
      <c r="C49" s="10" t="s">
        <v>211</v>
      </c>
      <c r="D49" s="11">
        <v>120</v>
      </c>
      <c r="E49" s="14">
        <v>3</v>
      </c>
      <c r="F49" s="16">
        <v>1.1749799999999999</v>
      </c>
      <c r="G49" s="14">
        <v>190</v>
      </c>
      <c r="H49" s="101">
        <f t="shared" si="2"/>
        <v>6.1841052631578944E-3</v>
      </c>
      <c r="I49" s="16">
        <v>7.0848000000000004</v>
      </c>
      <c r="J49" s="14">
        <v>3</v>
      </c>
      <c r="K49" s="14">
        <f t="shared" si="0"/>
        <v>2.3616000000000001</v>
      </c>
      <c r="L49" s="14">
        <f t="shared" si="1"/>
        <v>381.88224480416693</v>
      </c>
      <c r="M49">
        <f t="shared" si="3"/>
        <v>1.0028025477707005</v>
      </c>
      <c r="N49">
        <f t="shared" si="4"/>
        <v>381.88224480416693</v>
      </c>
    </row>
    <row r="50" spans="2:14" ht="15" hidden="1" x14ac:dyDescent="0.2">
      <c r="B50" s="10" t="s">
        <v>17</v>
      </c>
      <c r="C50" s="10" t="s">
        <v>211</v>
      </c>
      <c r="D50" s="11">
        <v>120</v>
      </c>
      <c r="E50" s="14">
        <v>4</v>
      </c>
      <c r="F50" s="16">
        <v>0.62502000000000002</v>
      </c>
      <c r="G50" s="14">
        <v>190</v>
      </c>
      <c r="H50" s="101">
        <f t="shared" si="2"/>
        <v>3.2895789473684212E-3</v>
      </c>
      <c r="I50" s="16">
        <v>1.7154799999999999</v>
      </c>
      <c r="J50" s="14">
        <v>3</v>
      </c>
      <c r="K50" s="14">
        <f t="shared" si="0"/>
        <v>0.57182666666666659</v>
      </c>
      <c r="L50" s="14">
        <f t="shared" si="1"/>
        <v>173.82974411485498</v>
      </c>
      <c r="M50">
        <f t="shared" si="3"/>
        <v>0.24281387119603678</v>
      </c>
      <c r="N50">
        <f t="shared" si="4"/>
        <v>173.82974411485498</v>
      </c>
    </row>
    <row r="51" spans="2:14" ht="15" hidden="1" x14ac:dyDescent="0.2">
      <c r="B51" s="10" t="s">
        <v>17</v>
      </c>
      <c r="C51" s="10" t="s">
        <v>211</v>
      </c>
      <c r="D51" s="11">
        <v>120</v>
      </c>
      <c r="E51" s="14">
        <v>5</v>
      </c>
      <c r="F51" s="16">
        <v>0.37504999999999999</v>
      </c>
      <c r="G51" s="14">
        <v>190</v>
      </c>
      <c r="H51" s="101">
        <f t="shared" si="2"/>
        <v>1.9739473684210525E-3</v>
      </c>
      <c r="I51" s="16">
        <v>2.5245799999999998</v>
      </c>
      <c r="J51" s="14">
        <v>3</v>
      </c>
      <c r="K51" s="14">
        <f t="shared" si="0"/>
        <v>0.84152666666666665</v>
      </c>
      <c r="L51" s="14">
        <f t="shared" si="1"/>
        <v>426.31666888859263</v>
      </c>
      <c r="M51">
        <f t="shared" si="3"/>
        <v>0.35733616418966735</v>
      </c>
      <c r="N51">
        <f t="shared" si="4"/>
        <v>426.31666888859263</v>
      </c>
    </row>
    <row r="52" spans="2:14" ht="15" hidden="1" x14ac:dyDescent="0.2">
      <c r="B52" s="10" t="s">
        <v>17</v>
      </c>
      <c r="C52" s="10" t="s">
        <v>211</v>
      </c>
      <c r="D52" s="11">
        <v>120</v>
      </c>
      <c r="E52" s="14">
        <v>6</v>
      </c>
      <c r="F52" s="16">
        <v>2.1750500000000001</v>
      </c>
      <c r="G52" s="14">
        <v>190</v>
      </c>
      <c r="H52" s="101">
        <f t="shared" si="2"/>
        <v>1.1447631578947369E-2</v>
      </c>
      <c r="I52" s="16">
        <v>0.55064999999999997</v>
      </c>
      <c r="J52" s="14">
        <v>3</v>
      </c>
      <c r="K52" s="14">
        <f t="shared" si="0"/>
        <v>0.18354999999999999</v>
      </c>
      <c r="L52" s="14">
        <f t="shared" si="1"/>
        <v>16.033884278522333</v>
      </c>
      <c r="M52">
        <f t="shared" si="3"/>
        <v>7.7940552016985132E-2</v>
      </c>
      <c r="N52">
        <f t="shared" si="4"/>
        <v>16.033884278522333</v>
      </c>
    </row>
    <row r="53" spans="2:14" ht="15" hidden="1" x14ac:dyDescent="0.2">
      <c r="B53" s="10" t="s">
        <v>17</v>
      </c>
      <c r="C53" s="10" t="s">
        <v>211</v>
      </c>
      <c r="D53" s="11">
        <v>120</v>
      </c>
      <c r="E53" s="14">
        <v>7</v>
      </c>
      <c r="F53" s="16">
        <v>0.3</v>
      </c>
      <c r="G53" s="14">
        <v>190</v>
      </c>
      <c r="H53" s="101">
        <f t="shared" si="2"/>
        <v>1.5789473684210526E-3</v>
      </c>
      <c r="I53" s="16">
        <v>2.1633800000000001</v>
      </c>
      <c r="J53" s="14">
        <v>3</v>
      </c>
      <c r="K53" s="14">
        <f t="shared" si="0"/>
        <v>0.72112666666666669</v>
      </c>
      <c r="L53" s="14">
        <f t="shared" si="1"/>
        <v>456.71355555555556</v>
      </c>
      <c r="M53">
        <f t="shared" si="3"/>
        <v>0.30621089879688607</v>
      </c>
      <c r="N53">
        <f t="shared" si="4"/>
        <v>456.71355555555556</v>
      </c>
    </row>
    <row r="54" spans="2:14" ht="15" hidden="1" x14ac:dyDescent="0.2">
      <c r="B54" s="10" t="s">
        <v>213</v>
      </c>
      <c r="C54" s="10" t="s">
        <v>211</v>
      </c>
      <c r="D54" s="11">
        <v>0</v>
      </c>
      <c r="E54" s="14">
        <v>1</v>
      </c>
      <c r="F54" s="17">
        <v>3.8750300000000002</v>
      </c>
      <c r="G54" s="1">
        <v>190</v>
      </c>
      <c r="H54" s="101">
        <f t="shared" si="2"/>
        <v>2.0394894736842105E-2</v>
      </c>
      <c r="I54" s="17">
        <v>13.780189999999999</v>
      </c>
      <c r="J54" s="14">
        <v>3</v>
      </c>
      <c r="K54" s="14">
        <f t="shared" si="0"/>
        <v>4.5933966666666661</v>
      </c>
      <c r="L54" s="14">
        <f t="shared" si="1"/>
        <v>225.22286709178164</v>
      </c>
      <c r="M54">
        <f>I54/(0.785*(J54*J54))</f>
        <v>1.9504869072894548</v>
      </c>
      <c r="N54">
        <f t="shared" si="4"/>
        <v>225.22286709178164</v>
      </c>
    </row>
    <row r="55" spans="2:14" ht="15" hidden="1" x14ac:dyDescent="0.2">
      <c r="B55" s="10" t="s">
        <v>213</v>
      </c>
      <c r="C55" s="10" t="s">
        <v>211</v>
      </c>
      <c r="D55" s="11">
        <v>0</v>
      </c>
      <c r="E55" s="14">
        <v>2</v>
      </c>
      <c r="F55" s="17">
        <v>5.5999800000000004</v>
      </c>
      <c r="G55" s="1">
        <v>190</v>
      </c>
      <c r="H55" s="101">
        <f t="shared" si="2"/>
        <v>2.9473578947368424E-2</v>
      </c>
      <c r="I55" s="17">
        <v>18.528717</v>
      </c>
      <c r="J55" s="14">
        <v>3</v>
      </c>
      <c r="K55" s="14">
        <f t="shared" si="0"/>
        <v>6.1762389999999998</v>
      </c>
      <c r="L55" s="14">
        <f t="shared" si="1"/>
        <v>209.5517144704088</v>
      </c>
      <c r="M55">
        <f t="shared" si="3"/>
        <v>2.6226067940552018</v>
      </c>
      <c r="N55">
        <f t="shared" si="4"/>
        <v>209.5517144704088</v>
      </c>
    </row>
    <row r="56" spans="2:14" ht="15" hidden="1" x14ac:dyDescent="0.2">
      <c r="B56" s="10" t="s">
        <v>213</v>
      </c>
      <c r="C56" s="10" t="s">
        <v>211</v>
      </c>
      <c r="D56" s="11">
        <v>0</v>
      </c>
      <c r="E56" s="14">
        <v>3</v>
      </c>
      <c r="F56" s="17">
        <v>6.2500099999999996</v>
      </c>
      <c r="G56" s="1">
        <v>190</v>
      </c>
      <c r="H56" s="101">
        <f t="shared" si="2"/>
        <v>3.2894789473684211E-2</v>
      </c>
      <c r="I56" s="17">
        <v>21.672091999999999</v>
      </c>
      <c r="J56" s="14">
        <v>3</v>
      </c>
      <c r="K56" s="14">
        <f t="shared" si="0"/>
        <v>7.2240306666666667</v>
      </c>
      <c r="L56" s="14">
        <f t="shared" si="1"/>
        <v>219.61018089037725</v>
      </c>
      <c r="M56">
        <f t="shared" si="3"/>
        <v>3.0675289455060155</v>
      </c>
      <c r="N56">
        <f t="shared" si="4"/>
        <v>219.61018089037725</v>
      </c>
    </row>
    <row r="57" spans="2:14" ht="15" hidden="1" x14ac:dyDescent="0.2">
      <c r="B57" s="10" t="s">
        <v>213</v>
      </c>
      <c r="C57" s="10" t="s">
        <v>211</v>
      </c>
      <c r="D57" s="11">
        <v>0</v>
      </c>
      <c r="E57" s="14">
        <v>4</v>
      </c>
      <c r="F57" s="17">
        <v>4.2</v>
      </c>
      <c r="G57" s="1">
        <v>190</v>
      </c>
      <c r="H57" s="101">
        <f t="shared" si="2"/>
        <v>2.2105263157894739E-2</v>
      </c>
      <c r="I57" s="17">
        <v>9.5533160000000006</v>
      </c>
      <c r="J57" s="14">
        <v>3</v>
      </c>
      <c r="K57" s="14">
        <f t="shared" si="0"/>
        <v>3.1844386666666669</v>
      </c>
      <c r="L57" s="14">
        <f t="shared" si="1"/>
        <v>144.05793968253968</v>
      </c>
      <c r="M57">
        <f t="shared" si="3"/>
        <v>1.3522032554847843</v>
      </c>
      <c r="N57">
        <f t="shared" si="4"/>
        <v>144.05793968253968</v>
      </c>
    </row>
    <row r="58" spans="2:14" ht="15" hidden="1" x14ac:dyDescent="0.2">
      <c r="B58" s="10" t="s">
        <v>213</v>
      </c>
      <c r="C58" s="10" t="s">
        <v>211</v>
      </c>
      <c r="D58" s="11">
        <v>0</v>
      </c>
      <c r="E58" s="14">
        <v>5</v>
      </c>
      <c r="F58" s="17">
        <v>6.2250500000000004</v>
      </c>
      <c r="G58" s="1">
        <v>190</v>
      </c>
      <c r="H58" s="101">
        <f t="shared" si="2"/>
        <v>3.2763421052631581E-2</v>
      </c>
      <c r="I58" s="17">
        <v>15.516361</v>
      </c>
      <c r="J58" s="14">
        <v>3</v>
      </c>
      <c r="K58" s="14">
        <f t="shared" si="0"/>
        <v>5.172120333333333</v>
      </c>
      <c r="L58" s="14">
        <f t="shared" si="1"/>
        <v>157.86264581542849</v>
      </c>
      <c r="M58">
        <f t="shared" si="3"/>
        <v>2.1962294409058738</v>
      </c>
      <c r="N58">
        <f t="shared" si="4"/>
        <v>157.86264581542849</v>
      </c>
    </row>
    <row r="59" spans="2:14" ht="15" hidden="1" x14ac:dyDescent="0.2">
      <c r="B59" s="10" t="s">
        <v>213</v>
      </c>
      <c r="C59" s="10" t="s">
        <v>211</v>
      </c>
      <c r="D59" s="11">
        <v>30</v>
      </c>
      <c r="E59" s="14">
        <v>1</v>
      </c>
      <c r="F59" s="17">
        <v>0.82504999999999995</v>
      </c>
      <c r="G59" s="1">
        <v>190</v>
      </c>
      <c r="H59" s="101">
        <f t="shared" si="2"/>
        <v>4.3423684210526312E-3</v>
      </c>
      <c r="I59" s="17">
        <v>11.99267</v>
      </c>
      <c r="J59" s="14">
        <v>3</v>
      </c>
      <c r="K59" s="14">
        <f t="shared" si="0"/>
        <v>3.9975566666666666</v>
      </c>
      <c r="L59" s="14">
        <f t="shared" si="1"/>
        <v>920.59362058865122</v>
      </c>
      <c r="M59">
        <f t="shared" si="3"/>
        <v>1.6974762915782025</v>
      </c>
      <c r="N59">
        <f t="shared" si="4"/>
        <v>920.59362058865122</v>
      </c>
    </row>
    <row r="60" spans="2:14" ht="15" hidden="1" x14ac:dyDescent="0.2">
      <c r="B60" s="10" t="s">
        <v>213</v>
      </c>
      <c r="C60" s="10" t="s">
        <v>211</v>
      </c>
      <c r="D60" s="11">
        <v>30</v>
      </c>
      <c r="E60" s="14">
        <v>2</v>
      </c>
      <c r="F60" s="17">
        <v>4.3250900000000003</v>
      </c>
      <c r="G60" s="1">
        <v>190</v>
      </c>
      <c r="H60" s="101">
        <f t="shared" si="2"/>
        <v>2.2763631578947369E-2</v>
      </c>
      <c r="I60" s="17">
        <v>26.78303</v>
      </c>
      <c r="J60" s="14">
        <v>3</v>
      </c>
      <c r="K60" s="14">
        <f t="shared" si="0"/>
        <v>8.9276766666666667</v>
      </c>
      <c r="L60" s="14">
        <f t="shared" si="1"/>
        <v>392.19035133758297</v>
      </c>
      <c r="M60">
        <f t="shared" si="3"/>
        <v>3.7909455060155697</v>
      </c>
      <c r="N60">
        <f t="shared" si="4"/>
        <v>392.19035133758297</v>
      </c>
    </row>
    <row r="61" spans="2:14" ht="15" hidden="1" x14ac:dyDescent="0.2">
      <c r="B61" s="10" t="s">
        <v>213</v>
      </c>
      <c r="C61" s="10" t="s">
        <v>211</v>
      </c>
      <c r="D61" s="11">
        <v>30</v>
      </c>
      <c r="E61" s="14">
        <v>3</v>
      </c>
      <c r="F61" s="17">
        <v>1.62503</v>
      </c>
      <c r="G61" s="1">
        <v>190</v>
      </c>
      <c r="H61" s="101">
        <f t="shared" si="2"/>
        <v>8.5527894736842098E-3</v>
      </c>
      <c r="I61" s="17">
        <v>21.57395</v>
      </c>
      <c r="J61" s="14">
        <v>3</v>
      </c>
      <c r="K61" s="14">
        <f t="shared" ref="K61:K79" si="5">(I61/J61)</f>
        <v>7.1913166666666664</v>
      </c>
      <c r="L61" s="14">
        <f t="shared" ref="L61:L79" si="6">(K61/H61)</f>
        <v>840.81534904996624</v>
      </c>
      <c r="M61">
        <f t="shared" si="3"/>
        <v>3.0536376503892426</v>
      </c>
      <c r="N61">
        <f t="shared" si="4"/>
        <v>840.81534904996624</v>
      </c>
    </row>
    <row r="62" spans="2:14" ht="15" hidden="1" x14ac:dyDescent="0.2">
      <c r="B62" s="10" t="s">
        <v>213</v>
      </c>
      <c r="C62" s="10" t="s">
        <v>211</v>
      </c>
      <c r="D62" s="11">
        <v>30</v>
      </c>
      <c r="E62" s="14">
        <v>4</v>
      </c>
      <c r="F62" s="17">
        <v>7.6000100000000002</v>
      </c>
      <c r="G62" s="1">
        <v>190</v>
      </c>
      <c r="H62" s="101">
        <f t="shared" si="2"/>
        <v>4.000005263157895E-2</v>
      </c>
      <c r="I62" s="17">
        <v>25.165389999999999</v>
      </c>
      <c r="J62" s="14">
        <v>3</v>
      </c>
      <c r="K62" s="14">
        <f t="shared" si="5"/>
        <v>8.3884633333333323</v>
      </c>
      <c r="L62" s="14">
        <f t="shared" si="6"/>
        <v>209.71130739740249</v>
      </c>
      <c r="M62">
        <f t="shared" ref="M62:M79" si="7">I62/(0.785*(J62*J62))</f>
        <v>3.5619801840056615</v>
      </c>
      <c r="N62">
        <f t="shared" ref="N62:N79" si="8">K62/H62</f>
        <v>209.71130739740249</v>
      </c>
    </row>
    <row r="63" spans="2:14" ht="15" hidden="1" x14ac:dyDescent="0.2">
      <c r="B63" s="10" t="s">
        <v>213</v>
      </c>
      <c r="C63" s="10" t="s">
        <v>211</v>
      </c>
      <c r="D63" s="11">
        <v>30</v>
      </c>
      <c r="E63" s="14">
        <v>5</v>
      </c>
      <c r="F63" s="17">
        <v>3.0749399999999998</v>
      </c>
      <c r="G63" s="1">
        <v>190</v>
      </c>
      <c r="H63" s="101">
        <f t="shared" si="2"/>
        <v>1.6183894736842105E-2</v>
      </c>
      <c r="I63" s="17">
        <v>27.52571</v>
      </c>
      <c r="J63" s="14">
        <v>3</v>
      </c>
      <c r="K63" s="14">
        <f t="shared" si="5"/>
        <v>9.1752366666666667</v>
      </c>
      <c r="L63" s="14">
        <f t="shared" si="6"/>
        <v>566.93625458274528</v>
      </c>
      <c r="M63">
        <f t="shared" si="7"/>
        <v>3.8960665251238495</v>
      </c>
      <c r="N63">
        <f t="shared" si="8"/>
        <v>566.93625458274528</v>
      </c>
    </row>
    <row r="64" spans="2:14" ht="15" hidden="1" x14ac:dyDescent="0.2">
      <c r="B64" s="10" t="s">
        <v>213</v>
      </c>
      <c r="C64" s="10" t="s">
        <v>211</v>
      </c>
      <c r="D64" s="11">
        <v>30</v>
      </c>
      <c r="E64" s="14">
        <v>6</v>
      </c>
      <c r="F64" s="17">
        <v>7.6500500000000002</v>
      </c>
      <c r="G64" s="1">
        <v>190</v>
      </c>
      <c r="H64" s="101">
        <f t="shared" si="2"/>
        <v>4.026342105263158E-2</v>
      </c>
      <c r="I64" s="17">
        <v>5.4965700000000002</v>
      </c>
      <c r="J64" s="14">
        <v>3</v>
      </c>
      <c r="K64" s="14">
        <f t="shared" si="5"/>
        <v>1.83219</v>
      </c>
      <c r="L64" s="14">
        <f t="shared" si="6"/>
        <v>45.505075130227908</v>
      </c>
      <c r="M64">
        <f t="shared" si="7"/>
        <v>0.77800000000000002</v>
      </c>
      <c r="N64">
        <f t="shared" si="8"/>
        <v>45.505075130227908</v>
      </c>
    </row>
    <row r="65" spans="2:14" ht="15" hidden="1" x14ac:dyDescent="0.2">
      <c r="B65" s="10" t="s">
        <v>213</v>
      </c>
      <c r="C65" s="10" t="s">
        <v>211</v>
      </c>
      <c r="D65" s="11">
        <v>30</v>
      </c>
      <c r="E65" s="14">
        <v>7</v>
      </c>
      <c r="F65" s="17">
        <v>1.92493</v>
      </c>
      <c r="G65" s="1">
        <v>190</v>
      </c>
      <c r="H65" s="101">
        <f t="shared" si="2"/>
        <v>1.0131210526315789E-2</v>
      </c>
      <c r="I65" s="17">
        <v>2.4489540000000001</v>
      </c>
      <c r="J65" s="14">
        <v>3</v>
      </c>
      <c r="K65" s="14">
        <f t="shared" si="5"/>
        <v>0.81631799999999999</v>
      </c>
      <c r="L65" s="14">
        <f t="shared" si="6"/>
        <v>80.574576737855395</v>
      </c>
      <c r="M65">
        <f t="shared" si="7"/>
        <v>0.34663184713375794</v>
      </c>
      <c r="N65">
        <f t="shared" si="8"/>
        <v>80.574576737855395</v>
      </c>
    </row>
    <row r="66" spans="2:14" ht="15" hidden="1" x14ac:dyDescent="0.2">
      <c r="B66" s="10" t="s">
        <v>213</v>
      </c>
      <c r="C66" s="10" t="s">
        <v>211</v>
      </c>
      <c r="D66" s="14">
        <v>60</v>
      </c>
      <c r="E66" s="14">
        <v>1</v>
      </c>
      <c r="F66" s="17">
        <v>1.8</v>
      </c>
      <c r="G66" s="1">
        <v>190</v>
      </c>
      <c r="H66" s="101">
        <f t="shared" si="2"/>
        <v>9.4736842105263164E-3</v>
      </c>
      <c r="I66" s="17">
        <v>9.5351199999999992</v>
      </c>
      <c r="J66" s="14">
        <v>3</v>
      </c>
      <c r="K66" s="14">
        <f t="shared" si="5"/>
        <v>3.1783733333333331</v>
      </c>
      <c r="L66" s="14">
        <f t="shared" si="6"/>
        <v>335.49496296296292</v>
      </c>
      <c r="M66">
        <f t="shared" si="7"/>
        <v>1.3496277423920735</v>
      </c>
      <c r="N66">
        <f t="shared" si="8"/>
        <v>335.49496296296292</v>
      </c>
    </row>
    <row r="67" spans="2:14" ht="15" hidden="1" x14ac:dyDescent="0.2">
      <c r="B67" s="10" t="s">
        <v>213</v>
      </c>
      <c r="C67" s="10" t="s">
        <v>211</v>
      </c>
      <c r="D67" s="14">
        <v>60</v>
      </c>
      <c r="E67" s="14">
        <v>2</v>
      </c>
      <c r="F67" s="17">
        <v>3.5750299999999999</v>
      </c>
      <c r="G67" s="1">
        <v>190</v>
      </c>
      <c r="H67" s="101">
        <f t="shared" si="2"/>
        <v>1.8815947368421054E-2</v>
      </c>
      <c r="I67" s="17">
        <v>6.16228</v>
      </c>
      <c r="J67" s="14">
        <v>3</v>
      </c>
      <c r="K67" s="14">
        <f t="shared" si="5"/>
        <v>2.0540933333333333</v>
      </c>
      <c r="L67" s="14">
        <f t="shared" si="6"/>
        <v>109.16768064417174</v>
      </c>
      <c r="M67">
        <f t="shared" si="7"/>
        <v>0.87222646850672325</v>
      </c>
      <c r="N67">
        <f t="shared" si="8"/>
        <v>109.16768064417174</v>
      </c>
    </row>
    <row r="68" spans="2:14" ht="15" hidden="1" x14ac:dyDescent="0.2">
      <c r="B68" s="10" t="s">
        <v>213</v>
      </c>
      <c r="C68" s="10" t="s">
        <v>211</v>
      </c>
      <c r="D68" s="14">
        <v>60</v>
      </c>
      <c r="E68" s="14">
        <v>3</v>
      </c>
      <c r="F68" s="17">
        <v>1.52512</v>
      </c>
      <c r="G68" s="1">
        <v>190</v>
      </c>
      <c r="H68" s="101">
        <f t="shared" ref="H68:H79" si="9">(F68/G68)</f>
        <v>8.0269473684210536E-3</v>
      </c>
      <c r="I68" s="17">
        <v>2.32077</v>
      </c>
      <c r="J68" s="14">
        <v>3</v>
      </c>
      <c r="K68" s="14">
        <f t="shared" si="5"/>
        <v>0.77359</v>
      </c>
      <c r="L68" s="14">
        <f t="shared" si="6"/>
        <v>96.374121380612664</v>
      </c>
      <c r="M68">
        <f t="shared" si="7"/>
        <v>0.32848832271762207</v>
      </c>
      <c r="N68">
        <f t="shared" si="8"/>
        <v>96.374121380612664</v>
      </c>
    </row>
    <row r="69" spans="2:14" ht="15" hidden="1" x14ac:dyDescent="0.2">
      <c r="B69" s="10" t="s">
        <v>213</v>
      </c>
      <c r="C69" s="10" t="s">
        <v>211</v>
      </c>
      <c r="D69" s="14">
        <v>60</v>
      </c>
      <c r="E69" s="14">
        <v>4</v>
      </c>
      <c r="F69" s="17">
        <v>0.52505000000000002</v>
      </c>
      <c r="G69" s="1">
        <v>190</v>
      </c>
      <c r="H69" s="101">
        <f t="shared" si="9"/>
        <v>2.7634210526315791E-3</v>
      </c>
      <c r="I69" s="17">
        <v>5.8906200000000002</v>
      </c>
      <c r="J69" s="14">
        <v>3</v>
      </c>
      <c r="K69" s="14">
        <f t="shared" si="5"/>
        <v>1.9635400000000001</v>
      </c>
      <c r="L69" s="14">
        <f t="shared" si="6"/>
        <v>710.54680506618422</v>
      </c>
      <c r="M69">
        <f t="shared" si="7"/>
        <v>0.83377494692144372</v>
      </c>
      <c r="N69">
        <f t="shared" si="8"/>
        <v>710.54680506618422</v>
      </c>
    </row>
    <row r="70" spans="2:14" ht="15" hidden="1" x14ac:dyDescent="0.2">
      <c r="B70" s="10" t="s">
        <v>213</v>
      </c>
      <c r="C70" s="10" t="s">
        <v>211</v>
      </c>
      <c r="D70" s="14">
        <v>60</v>
      </c>
      <c r="E70" s="14">
        <v>5</v>
      </c>
      <c r="F70" s="17">
        <v>2.3499599999999998</v>
      </c>
      <c r="G70" s="1">
        <v>190</v>
      </c>
      <c r="H70" s="101">
        <f t="shared" si="9"/>
        <v>1.2368210526315789E-2</v>
      </c>
      <c r="I70" s="17">
        <v>7.1661200000000003</v>
      </c>
      <c r="J70" s="14">
        <v>3</v>
      </c>
      <c r="K70" s="14">
        <f t="shared" si="5"/>
        <v>2.3887066666666668</v>
      </c>
      <c r="L70" s="14">
        <f t="shared" si="6"/>
        <v>193.13276254347593</v>
      </c>
      <c r="M70">
        <f t="shared" si="7"/>
        <v>1.0143128096249114</v>
      </c>
      <c r="N70">
        <f t="shared" si="8"/>
        <v>193.13276254347593</v>
      </c>
    </row>
    <row r="71" spans="2:14" ht="15" hidden="1" x14ac:dyDescent="0.2">
      <c r="B71" s="10" t="s">
        <v>213</v>
      </c>
      <c r="C71" s="10" t="s">
        <v>211</v>
      </c>
      <c r="D71" s="14">
        <v>60</v>
      </c>
      <c r="E71" s="14">
        <v>6</v>
      </c>
      <c r="F71" s="17">
        <v>0.94998000000000005</v>
      </c>
      <c r="G71" s="1">
        <v>190</v>
      </c>
      <c r="H71" s="101">
        <f t="shared" si="9"/>
        <v>4.9998947368421051E-3</v>
      </c>
      <c r="I71" s="17">
        <v>3.3852500000000001</v>
      </c>
      <c r="J71" s="14">
        <v>3</v>
      </c>
      <c r="K71" s="14">
        <f t="shared" si="5"/>
        <v>1.1284166666666666</v>
      </c>
      <c r="L71" s="14">
        <f t="shared" si="6"/>
        <v>225.68808466143147</v>
      </c>
      <c r="M71">
        <f t="shared" si="7"/>
        <v>0.47915782024062276</v>
      </c>
      <c r="N71">
        <f t="shared" si="8"/>
        <v>225.68808466143147</v>
      </c>
    </row>
    <row r="72" spans="2:14" ht="15" hidden="1" x14ac:dyDescent="0.2">
      <c r="B72" s="10" t="s">
        <v>213</v>
      </c>
      <c r="C72" s="10" t="s">
        <v>211</v>
      </c>
      <c r="D72" s="14">
        <v>60</v>
      </c>
      <c r="E72" s="14">
        <v>7</v>
      </c>
      <c r="F72" s="17">
        <v>2.5499999999999998</v>
      </c>
      <c r="G72" s="1">
        <v>190</v>
      </c>
      <c r="H72" s="101">
        <f t="shared" si="9"/>
        <v>1.3421052631578946E-2</v>
      </c>
      <c r="I72" s="17">
        <v>7.0585100000000001</v>
      </c>
      <c r="J72" s="14">
        <v>3</v>
      </c>
      <c r="K72" s="14">
        <f t="shared" si="5"/>
        <v>2.3528366666666667</v>
      </c>
      <c r="L72" s="14">
        <f t="shared" si="6"/>
        <v>175.30939869281048</v>
      </c>
      <c r="M72">
        <f t="shared" si="7"/>
        <v>0.99908138711960359</v>
      </c>
      <c r="N72">
        <f t="shared" si="8"/>
        <v>175.30939869281048</v>
      </c>
    </row>
    <row r="73" spans="2:14" ht="15" hidden="1" x14ac:dyDescent="0.2">
      <c r="B73" s="10" t="s">
        <v>213</v>
      </c>
      <c r="C73" s="10" t="s">
        <v>211</v>
      </c>
      <c r="D73" s="11">
        <v>90</v>
      </c>
      <c r="E73" s="14">
        <v>1</v>
      </c>
      <c r="F73" s="17">
        <v>1.3750199999999999</v>
      </c>
      <c r="G73" s="1">
        <v>190</v>
      </c>
      <c r="H73" s="101">
        <f t="shared" si="9"/>
        <v>7.236947368421052E-3</v>
      </c>
      <c r="I73" s="17">
        <v>0.48041</v>
      </c>
      <c r="J73" s="14">
        <v>3</v>
      </c>
      <c r="K73" s="14">
        <f t="shared" si="5"/>
        <v>0.16013666666666668</v>
      </c>
      <c r="L73" s="14">
        <f t="shared" si="6"/>
        <v>22.127653900791749</v>
      </c>
      <c r="M73">
        <f t="shared" si="7"/>
        <v>6.7998584571832971E-2</v>
      </c>
      <c r="N73">
        <f>K73/H73</f>
        <v>22.127653900791749</v>
      </c>
    </row>
    <row r="74" spans="2:14" ht="15" hidden="1" x14ac:dyDescent="0.2">
      <c r="B74" s="10" t="s">
        <v>213</v>
      </c>
      <c r="C74" s="10" t="s">
        <v>211</v>
      </c>
      <c r="D74" s="11">
        <v>90</v>
      </c>
      <c r="E74" s="14">
        <v>2</v>
      </c>
      <c r="F74" s="17">
        <v>0.40001999999999999</v>
      </c>
      <c r="G74" s="1">
        <v>190</v>
      </c>
      <c r="H74" s="101">
        <f t="shared" si="9"/>
        <v>2.1053684210526314E-3</v>
      </c>
      <c r="I74" s="17">
        <v>3.3287059999999999</v>
      </c>
      <c r="J74" s="14">
        <v>3</v>
      </c>
      <c r="K74" s="14">
        <f>(I74/J74)</f>
        <v>1.1095686666666666</v>
      </c>
      <c r="L74" s="14">
        <f t="shared" si="6"/>
        <v>527.01876572838023</v>
      </c>
      <c r="M74">
        <f t="shared" si="7"/>
        <v>0.47115442321302192</v>
      </c>
      <c r="N74">
        <f>K74/H74</f>
        <v>527.01876572838023</v>
      </c>
    </row>
    <row r="75" spans="2:14" ht="15" hidden="1" x14ac:dyDescent="0.2">
      <c r="B75" s="10" t="s">
        <v>213</v>
      </c>
      <c r="C75" s="10" t="s">
        <v>211</v>
      </c>
      <c r="D75" s="11">
        <v>90</v>
      </c>
      <c r="E75" s="14">
        <v>3</v>
      </c>
      <c r="F75" s="17">
        <v>0.65003999999999995</v>
      </c>
      <c r="G75" s="1">
        <v>190</v>
      </c>
      <c r="H75" s="101">
        <f t="shared" si="9"/>
        <v>3.4212631578947367E-3</v>
      </c>
      <c r="I75" s="17">
        <v>8.4149100000000008</v>
      </c>
      <c r="J75" s="14">
        <v>3</v>
      </c>
      <c r="K75" s="14">
        <f t="shared" si="5"/>
        <v>2.8049700000000004</v>
      </c>
      <c r="L75" s="14">
        <f t="shared" si="6"/>
        <v>819.86385453202899</v>
      </c>
      <c r="M75">
        <f t="shared" si="7"/>
        <v>1.1910700636942675</v>
      </c>
      <c r="N75">
        <f t="shared" si="8"/>
        <v>819.86385453202899</v>
      </c>
    </row>
    <row r="76" spans="2:14" ht="15" hidden="1" x14ac:dyDescent="0.2">
      <c r="B76" s="10" t="s">
        <v>213</v>
      </c>
      <c r="C76" s="10" t="s">
        <v>211</v>
      </c>
      <c r="D76" s="11">
        <v>90</v>
      </c>
      <c r="E76" s="14">
        <v>4</v>
      </c>
      <c r="F76" s="17">
        <v>0.82504999999999995</v>
      </c>
      <c r="G76" s="1">
        <v>190</v>
      </c>
      <c r="H76" s="101">
        <f t="shared" si="9"/>
        <v>4.3423684210526312E-3</v>
      </c>
      <c r="I76" s="17">
        <v>1.08117</v>
      </c>
      <c r="J76" s="14">
        <v>3</v>
      </c>
      <c r="K76" s="14">
        <f t="shared" si="5"/>
        <v>0.36038999999999999</v>
      </c>
      <c r="L76" s="14">
        <f t="shared" si="6"/>
        <v>82.993879158838865</v>
      </c>
      <c r="M76">
        <f t="shared" si="7"/>
        <v>0.15303184713375795</v>
      </c>
      <c r="N76">
        <f t="shared" si="8"/>
        <v>82.993879158838865</v>
      </c>
    </row>
    <row r="77" spans="2:14" ht="15" hidden="1" x14ac:dyDescent="0.2">
      <c r="B77" s="10" t="s">
        <v>213</v>
      </c>
      <c r="C77" s="10" t="s">
        <v>211</v>
      </c>
      <c r="D77" s="11">
        <v>90</v>
      </c>
      <c r="E77" s="14">
        <v>5</v>
      </c>
      <c r="F77" s="17">
        <v>1.67502</v>
      </c>
      <c r="G77" s="1">
        <v>190</v>
      </c>
      <c r="H77" s="101">
        <f t="shared" si="9"/>
        <v>8.8158947368421042E-3</v>
      </c>
      <c r="I77" s="17">
        <v>3.7103700000000002</v>
      </c>
      <c r="J77" s="14">
        <v>3</v>
      </c>
      <c r="K77" s="14">
        <f t="shared" si="5"/>
        <v>1.2367900000000001</v>
      </c>
      <c r="L77" s="14">
        <f t="shared" si="6"/>
        <v>140.29092189944004</v>
      </c>
      <c r="M77">
        <f t="shared" si="7"/>
        <v>0.52517622080679405</v>
      </c>
      <c r="N77">
        <f t="shared" si="8"/>
        <v>140.29092189944004</v>
      </c>
    </row>
    <row r="78" spans="2:14" ht="15" hidden="1" x14ac:dyDescent="0.2">
      <c r="B78" s="10" t="s">
        <v>213</v>
      </c>
      <c r="C78" s="10" t="s">
        <v>211</v>
      </c>
      <c r="D78" s="11">
        <v>90</v>
      </c>
      <c r="E78" s="14">
        <v>6</v>
      </c>
      <c r="F78" s="17">
        <v>0.32501999999999998</v>
      </c>
      <c r="G78" s="1">
        <v>190</v>
      </c>
      <c r="H78" s="101">
        <f t="shared" si="9"/>
        <v>1.7106315789473683E-3</v>
      </c>
      <c r="I78" s="17">
        <v>2.2342499999999998</v>
      </c>
      <c r="J78" s="14">
        <v>3</v>
      </c>
      <c r="K78" s="14">
        <f t="shared" si="5"/>
        <v>0.74474999999999991</v>
      </c>
      <c r="L78" s="14">
        <f t="shared" si="6"/>
        <v>435.36551596824808</v>
      </c>
      <c r="M78">
        <f t="shared" si="7"/>
        <v>0.31624203821656049</v>
      </c>
      <c r="N78">
        <f t="shared" si="8"/>
        <v>435.36551596824808</v>
      </c>
    </row>
    <row r="79" spans="2:14" ht="15" hidden="1" x14ac:dyDescent="0.2">
      <c r="B79" s="10" t="s">
        <v>213</v>
      </c>
      <c r="C79" s="10" t="s">
        <v>211</v>
      </c>
      <c r="D79" s="11">
        <v>90</v>
      </c>
      <c r="E79" s="14">
        <v>7</v>
      </c>
      <c r="F79" s="17">
        <v>0.45</v>
      </c>
      <c r="G79" s="1">
        <v>190</v>
      </c>
      <c r="H79" s="101">
        <f t="shared" si="9"/>
        <v>2.3684210526315791E-3</v>
      </c>
      <c r="I79" s="17">
        <v>13.26369</v>
      </c>
      <c r="J79" s="14">
        <v>3</v>
      </c>
      <c r="K79" s="14">
        <f t="shared" si="5"/>
        <v>4.4212300000000004</v>
      </c>
      <c r="L79" s="14">
        <f t="shared" si="6"/>
        <v>1866.7415555555556</v>
      </c>
      <c r="M79">
        <f t="shared" si="7"/>
        <v>1.8773800424628451</v>
      </c>
      <c r="N79">
        <f t="shared" si="8"/>
        <v>1866.7415555555556</v>
      </c>
    </row>
  </sheetData>
  <autoFilter ref="B2:N79" xr:uid="{403D1434-DB46-4AD1-991E-C8EB81A3A4D3}">
    <filterColumn colId="0">
      <filters>
        <filter val="0x resina"/>
      </filters>
    </filterColumn>
    <filterColumn colId="2">
      <filters>
        <filter val="0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614D-9FF0-4FDB-8310-6F6FC8BD0285}">
  <dimension ref="B1:E99"/>
  <sheetViews>
    <sheetView topLeftCell="A32" zoomScaleNormal="100" workbookViewId="0"/>
  </sheetViews>
  <sheetFormatPr defaultRowHeight="13.5" x14ac:dyDescent="0.15"/>
  <cols>
    <col min="1" max="1" width="0.609375" customWidth="1"/>
    <col min="2" max="2" width="11.15234375" bestFit="1" customWidth="1"/>
    <col min="5" max="5" width="11.890625" bestFit="1" customWidth="1"/>
  </cols>
  <sheetData>
    <row r="1" spans="2:5" ht="3.75" customHeight="1" x14ac:dyDescent="0.15"/>
    <row r="2" spans="2:5" x14ac:dyDescent="0.15">
      <c r="B2" t="s">
        <v>0</v>
      </c>
      <c r="C2" t="s">
        <v>1</v>
      </c>
      <c r="D2" t="s">
        <v>2</v>
      </c>
      <c r="E2" t="s">
        <v>21</v>
      </c>
    </row>
    <row r="3" spans="2:5" x14ac:dyDescent="0.15">
      <c r="B3" t="s">
        <v>212</v>
      </c>
      <c r="C3" t="s">
        <v>211</v>
      </c>
      <c r="D3">
        <v>30</v>
      </c>
      <c r="E3">
        <v>4.1447894736842104</v>
      </c>
    </row>
    <row r="4" spans="2:5" x14ac:dyDescent="0.15">
      <c r="B4" t="s">
        <v>212</v>
      </c>
      <c r="C4" t="s">
        <v>211</v>
      </c>
      <c r="D4">
        <v>30</v>
      </c>
      <c r="E4">
        <v>4.1973210526315796</v>
      </c>
    </row>
    <row r="5" spans="2:5" x14ac:dyDescent="0.15">
      <c r="B5" t="s">
        <v>212</v>
      </c>
      <c r="C5" t="s">
        <v>211</v>
      </c>
      <c r="D5">
        <v>30</v>
      </c>
      <c r="E5">
        <v>2.9605526315789477</v>
      </c>
    </row>
    <row r="6" spans="2:5" x14ac:dyDescent="0.15">
      <c r="B6" t="s">
        <v>212</v>
      </c>
      <c r="C6" t="s">
        <v>211</v>
      </c>
      <c r="D6">
        <v>30</v>
      </c>
      <c r="E6">
        <v>3.1052789473684212</v>
      </c>
    </row>
    <row r="7" spans="2:5" x14ac:dyDescent="0.15">
      <c r="B7" t="s">
        <v>212</v>
      </c>
      <c r="C7" t="s">
        <v>211</v>
      </c>
      <c r="D7">
        <v>30</v>
      </c>
      <c r="E7">
        <v>2.236857894736842</v>
      </c>
    </row>
    <row r="8" spans="2:5" x14ac:dyDescent="0.15">
      <c r="B8" t="s">
        <v>212</v>
      </c>
      <c r="C8" t="s">
        <v>211</v>
      </c>
      <c r="D8">
        <v>60</v>
      </c>
      <c r="E8">
        <v>1.4342473684210526</v>
      </c>
    </row>
    <row r="9" spans="2:5" x14ac:dyDescent="0.15">
      <c r="B9" t="s">
        <v>212</v>
      </c>
      <c r="C9" t="s">
        <v>211</v>
      </c>
      <c r="D9">
        <v>60</v>
      </c>
      <c r="E9">
        <v>2.9341894736842105</v>
      </c>
    </row>
    <row r="10" spans="2:5" x14ac:dyDescent="0.15">
      <c r="B10" t="s">
        <v>212</v>
      </c>
      <c r="C10" t="s">
        <v>211</v>
      </c>
      <c r="D10">
        <v>60</v>
      </c>
      <c r="E10">
        <v>2.3289736842105264</v>
      </c>
    </row>
    <row r="11" spans="2:5" x14ac:dyDescent="0.15">
      <c r="B11" t="s">
        <v>212</v>
      </c>
      <c r="C11" t="s">
        <v>211</v>
      </c>
      <c r="D11">
        <v>60</v>
      </c>
      <c r="E11">
        <v>3.4079315789473679</v>
      </c>
    </row>
    <row r="12" spans="2:5" x14ac:dyDescent="0.15">
      <c r="B12" t="s">
        <v>212</v>
      </c>
      <c r="C12" t="s">
        <v>211</v>
      </c>
      <c r="D12">
        <v>60</v>
      </c>
      <c r="E12">
        <v>3.2763157894736841</v>
      </c>
    </row>
    <row r="13" spans="2:5" x14ac:dyDescent="0.15">
      <c r="B13" t="s">
        <v>212</v>
      </c>
      <c r="C13" t="s">
        <v>211</v>
      </c>
      <c r="D13">
        <v>60</v>
      </c>
      <c r="E13">
        <v>0.71055263157894732</v>
      </c>
    </row>
    <row r="14" spans="2:5" x14ac:dyDescent="0.15">
      <c r="B14" t="s">
        <v>212</v>
      </c>
      <c r="C14" t="s">
        <v>211</v>
      </c>
      <c r="D14">
        <v>60</v>
      </c>
      <c r="E14">
        <v>4.6973631578947366</v>
      </c>
    </row>
    <row r="15" spans="2:5" x14ac:dyDescent="0.15">
      <c r="B15" t="s">
        <v>212</v>
      </c>
      <c r="C15" t="s">
        <v>211</v>
      </c>
      <c r="D15">
        <v>90</v>
      </c>
      <c r="E15">
        <v>1.5789736842105262</v>
      </c>
    </row>
    <row r="16" spans="2:5" x14ac:dyDescent="0.15">
      <c r="B16" t="s">
        <v>212</v>
      </c>
      <c r="C16" t="s">
        <v>211</v>
      </c>
      <c r="D16">
        <v>90</v>
      </c>
      <c r="E16">
        <v>1.7368105263157894</v>
      </c>
    </row>
    <row r="17" spans="2:5" x14ac:dyDescent="0.15">
      <c r="B17" t="s">
        <v>212</v>
      </c>
      <c r="C17" t="s">
        <v>211</v>
      </c>
      <c r="D17">
        <v>90</v>
      </c>
      <c r="E17">
        <v>0.22373157894736845</v>
      </c>
    </row>
    <row r="18" spans="2:5" x14ac:dyDescent="0.15">
      <c r="B18" t="s">
        <v>212</v>
      </c>
      <c r="C18" t="s">
        <v>211</v>
      </c>
      <c r="D18">
        <v>90</v>
      </c>
      <c r="E18">
        <v>1.4605263157894737</v>
      </c>
    </row>
    <row r="19" spans="2:5" x14ac:dyDescent="0.15">
      <c r="B19" t="s">
        <v>212</v>
      </c>
      <c r="C19" t="s">
        <v>211</v>
      </c>
      <c r="D19">
        <v>90</v>
      </c>
      <c r="E19">
        <v>2.2237210526315785</v>
      </c>
    </row>
    <row r="20" spans="2:5" x14ac:dyDescent="0.15">
      <c r="B20" t="s">
        <v>212</v>
      </c>
      <c r="C20" t="s">
        <v>211</v>
      </c>
      <c r="D20">
        <v>90</v>
      </c>
      <c r="E20">
        <v>1.7236473684210527</v>
      </c>
    </row>
    <row r="21" spans="2:5" x14ac:dyDescent="0.15">
      <c r="B21" t="s">
        <v>17</v>
      </c>
      <c r="C21" t="s">
        <v>211</v>
      </c>
      <c r="D21">
        <v>30</v>
      </c>
      <c r="E21">
        <v>3.5394631578947373</v>
      </c>
    </row>
    <row r="22" spans="2:5" x14ac:dyDescent="0.15">
      <c r="B22" t="s">
        <v>17</v>
      </c>
      <c r="C22" t="s">
        <v>211</v>
      </c>
      <c r="D22">
        <v>30</v>
      </c>
      <c r="E22">
        <v>5.2631368421052631</v>
      </c>
    </row>
    <row r="23" spans="2:5" x14ac:dyDescent="0.15">
      <c r="B23" t="s">
        <v>17</v>
      </c>
      <c r="C23" t="s">
        <v>211</v>
      </c>
      <c r="D23">
        <v>30</v>
      </c>
      <c r="E23">
        <v>5.4605052631578941</v>
      </c>
    </row>
    <row r="24" spans="2:5" x14ac:dyDescent="0.15">
      <c r="B24" t="s">
        <v>17</v>
      </c>
      <c r="C24" t="s">
        <v>211</v>
      </c>
      <c r="D24">
        <v>30</v>
      </c>
      <c r="E24">
        <v>1.7894842105263158</v>
      </c>
    </row>
    <row r="25" spans="2:5" x14ac:dyDescent="0.15">
      <c r="B25" t="s">
        <v>17</v>
      </c>
      <c r="C25" t="s">
        <v>211</v>
      </c>
      <c r="D25">
        <v>30</v>
      </c>
      <c r="E25">
        <v>3.4210684210526319</v>
      </c>
    </row>
    <row r="26" spans="2:5" x14ac:dyDescent="0.15">
      <c r="B26" t="s">
        <v>17</v>
      </c>
      <c r="C26" t="s">
        <v>211</v>
      </c>
      <c r="D26">
        <v>60</v>
      </c>
      <c r="E26">
        <v>2.2500263157894738</v>
      </c>
    </row>
    <row r="27" spans="2:5" x14ac:dyDescent="0.15">
      <c r="B27" t="s">
        <v>17</v>
      </c>
      <c r="C27" t="s">
        <v>211</v>
      </c>
      <c r="D27">
        <v>60</v>
      </c>
      <c r="E27">
        <v>1.7894842105263158</v>
      </c>
    </row>
    <row r="28" spans="2:5" x14ac:dyDescent="0.15">
      <c r="B28" t="s">
        <v>17</v>
      </c>
      <c r="C28" t="s">
        <v>211</v>
      </c>
      <c r="D28">
        <v>60</v>
      </c>
      <c r="E28">
        <v>1.2895210526315788</v>
      </c>
    </row>
    <row r="29" spans="2:5" x14ac:dyDescent="0.15">
      <c r="B29" t="s">
        <v>17</v>
      </c>
      <c r="C29" t="s">
        <v>211</v>
      </c>
      <c r="D29">
        <v>60</v>
      </c>
      <c r="E29">
        <v>1.8684315789473684</v>
      </c>
    </row>
    <row r="30" spans="2:5" x14ac:dyDescent="0.15">
      <c r="B30" t="s">
        <v>17</v>
      </c>
      <c r="C30" t="s">
        <v>211</v>
      </c>
      <c r="D30">
        <v>60</v>
      </c>
      <c r="E30">
        <v>7.4473526315789478</v>
      </c>
    </row>
    <row r="31" spans="2:5" x14ac:dyDescent="0.15">
      <c r="B31" t="s">
        <v>17</v>
      </c>
      <c r="C31" t="s">
        <v>211</v>
      </c>
      <c r="D31">
        <v>60</v>
      </c>
      <c r="E31">
        <v>1.6315315789473686</v>
      </c>
    </row>
    <row r="32" spans="2:5" x14ac:dyDescent="0.15">
      <c r="B32" t="s">
        <v>17</v>
      </c>
      <c r="C32" t="s">
        <v>211</v>
      </c>
      <c r="D32">
        <v>60</v>
      </c>
      <c r="E32">
        <v>3.1447526315789474</v>
      </c>
    </row>
    <row r="33" spans="2:5" x14ac:dyDescent="0.15">
      <c r="B33" t="s">
        <v>17</v>
      </c>
      <c r="C33" t="s">
        <v>211</v>
      </c>
      <c r="D33">
        <v>90</v>
      </c>
      <c r="E33">
        <v>1.2500157894736843</v>
      </c>
    </row>
    <row r="34" spans="2:5" x14ac:dyDescent="0.15">
      <c r="B34" t="s">
        <v>17</v>
      </c>
      <c r="C34" t="s">
        <v>211</v>
      </c>
      <c r="D34">
        <v>90</v>
      </c>
      <c r="E34">
        <v>1.1973789473684211</v>
      </c>
    </row>
    <row r="35" spans="2:5" x14ac:dyDescent="0.15">
      <c r="B35" t="s">
        <v>17</v>
      </c>
      <c r="C35" t="s">
        <v>211</v>
      </c>
      <c r="D35">
        <v>90</v>
      </c>
      <c r="E35">
        <v>0.71055263157894732</v>
      </c>
    </row>
    <row r="36" spans="2:5" x14ac:dyDescent="0.15">
      <c r="B36" t="s">
        <v>17</v>
      </c>
      <c r="C36" t="s">
        <v>211</v>
      </c>
      <c r="D36">
        <v>90</v>
      </c>
      <c r="E36">
        <v>0.44737894736842104</v>
      </c>
    </row>
    <row r="37" spans="2:5" x14ac:dyDescent="0.15">
      <c r="B37" t="s">
        <v>17</v>
      </c>
      <c r="C37" t="s">
        <v>211</v>
      </c>
      <c r="D37">
        <v>90</v>
      </c>
      <c r="E37">
        <v>1.1973473684210527</v>
      </c>
    </row>
    <row r="38" spans="2:5" x14ac:dyDescent="0.15">
      <c r="B38" t="s">
        <v>17</v>
      </c>
      <c r="C38" t="s">
        <v>211</v>
      </c>
      <c r="D38">
        <v>90</v>
      </c>
      <c r="E38">
        <v>1.9736526315789475</v>
      </c>
    </row>
    <row r="39" spans="2:5" x14ac:dyDescent="0.15">
      <c r="B39" t="s">
        <v>17</v>
      </c>
      <c r="C39" t="s">
        <v>211</v>
      </c>
      <c r="D39">
        <v>90</v>
      </c>
      <c r="E39">
        <v>4.0920947368421059</v>
      </c>
    </row>
    <row r="40" spans="2:5" x14ac:dyDescent="0.15">
      <c r="B40" t="s">
        <v>17</v>
      </c>
      <c r="C40" t="s">
        <v>211</v>
      </c>
      <c r="D40">
        <v>120</v>
      </c>
      <c r="E40">
        <v>1.1447631578947368</v>
      </c>
    </row>
    <row r="41" spans="2:5" x14ac:dyDescent="0.15">
      <c r="B41" t="s">
        <v>17</v>
      </c>
      <c r="C41" t="s">
        <v>211</v>
      </c>
      <c r="D41">
        <v>120</v>
      </c>
      <c r="E41">
        <v>0.3684578947368421</v>
      </c>
    </row>
    <row r="42" spans="2:5" x14ac:dyDescent="0.15">
      <c r="B42" t="s">
        <v>17</v>
      </c>
      <c r="C42" t="s">
        <v>211</v>
      </c>
      <c r="D42">
        <v>120</v>
      </c>
      <c r="E42">
        <v>0.69735789473684207</v>
      </c>
    </row>
    <row r="43" spans="2:5" x14ac:dyDescent="0.15">
      <c r="B43" t="s">
        <v>17</v>
      </c>
      <c r="C43" t="s">
        <v>211</v>
      </c>
      <c r="D43">
        <v>120</v>
      </c>
      <c r="E43">
        <v>0.76313684210526311</v>
      </c>
    </row>
    <row r="44" spans="2:5" x14ac:dyDescent="0.15">
      <c r="B44" t="s">
        <v>17</v>
      </c>
      <c r="C44" t="s">
        <v>211</v>
      </c>
      <c r="D44">
        <v>120</v>
      </c>
      <c r="E44">
        <v>0.5131842105263158</v>
      </c>
    </row>
    <row r="45" spans="2:5" x14ac:dyDescent="0.15">
      <c r="B45" t="s">
        <v>17</v>
      </c>
      <c r="C45" t="s">
        <v>211</v>
      </c>
      <c r="D45">
        <v>120</v>
      </c>
      <c r="E45">
        <v>0.10519473684210527</v>
      </c>
    </row>
    <row r="46" spans="2:5" x14ac:dyDescent="0.15">
      <c r="B46" t="s">
        <v>17</v>
      </c>
      <c r="C46" t="s">
        <v>211</v>
      </c>
      <c r="D46">
        <v>120</v>
      </c>
      <c r="E46">
        <v>0.94736842105263164</v>
      </c>
    </row>
    <row r="47" spans="2:5" x14ac:dyDescent="0.15">
      <c r="B47" t="s">
        <v>17</v>
      </c>
      <c r="C47" t="s">
        <v>211</v>
      </c>
      <c r="D47">
        <v>150</v>
      </c>
      <c r="E47">
        <v>0.22364736842105259</v>
      </c>
    </row>
    <row r="48" spans="2:5" x14ac:dyDescent="0.15">
      <c r="B48" t="s">
        <v>17</v>
      </c>
      <c r="C48" t="s">
        <v>211</v>
      </c>
      <c r="D48">
        <v>150</v>
      </c>
      <c r="E48">
        <v>0.98684210526315785</v>
      </c>
    </row>
    <row r="49" spans="2:5" x14ac:dyDescent="0.15">
      <c r="B49" t="s">
        <v>17</v>
      </c>
      <c r="C49" t="s">
        <v>211</v>
      </c>
      <c r="D49">
        <v>150</v>
      </c>
      <c r="E49">
        <v>0.61841052631578941</v>
      </c>
    </row>
    <row r="50" spans="2:5" x14ac:dyDescent="0.15">
      <c r="B50" t="s">
        <v>17</v>
      </c>
      <c r="C50" t="s">
        <v>211</v>
      </c>
      <c r="D50">
        <v>150</v>
      </c>
      <c r="E50">
        <v>0.32895789473684212</v>
      </c>
    </row>
    <row r="51" spans="2:5" x14ac:dyDescent="0.15">
      <c r="B51" t="s">
        <v>17</v>
      </c>
      <c r="C51" t="s">
        <v>211</v>
      </c>
      <c r="D51">
        <v>150</v>
      </c>
      <c r="E51">
        <v>0.19739473684210526</v>
      </c>
    </row>
    <row r="52" spans="2:5" x14ac:dyDescent="0.15">
      <c r="B52" t="s">
        <v>17</v>
      </c>
      <c r="C52" t="s">
        <v>211</v>
      </c>
      <c r="D52">
        <v>150</v>
      </c>
      <c r="E52">
        <v>1.1447631578947368</v>
      </c>
    </row>
    <row r="53" spans="2:5" x14ac:dyDescent="0.15">
      <c r="B53" t="s">
        <v>17</v>
      </c>
      <c r="C53" t="s">
        <v>211</v>
      </c>
      <c r="D53">
        <v>150</v>
      </c>
      <c r="E53">
        <v>0.15789473684210525</v>
      </c>
    </row>
    <row r="54" spans="2:5" x14ac:dyDescent="0.15">
      <c r="B54" t="s">
        <v>17</v>
      </c>
      <c r="C54" t="s">
        <v>211</v>
      </c>
      <c r="D54">
        <v>180</v>
      </c>
      <c r="E54">
        <v>0</v>
      </c>
    </row>
    <row r="55" spans="2:5" x14ac:dyDescent="0.15">
      <c r="B55" t="s">
        <v>17</v>
      </c>
      <c r="C55" t="s">
        <v>211</v>
      </c>
      <c r="D55">
        <v>180</v>
      </c>
      <c r="E55">
        <v>0</v>
      </c>
    </row>
    <row r="56" spans="2:5" x14ac:dyDescent="0.15">
      <c r="B56" t="s">
        <v>17</v>
      </c>
      <c r="C56" t="s">
        <v>211</v>
      </c>
      <c r="D56">
        <v>180</v>
      </c>
      <c r="E56">
        <v>0</v>
      </c>
    </row>
    <row r="57" spans="2:5" x14ac:dyDescent="0.15">
      <c r="B57" t="s">
        <v>17</v>
      </c>
      <c r="C57" t="s">
        <v>211</v>
      </c>
      <c r="D57">
        <v>180</v>
      </c>
      <c r="E57">
        <v>0</v>
      </c>
    </row>
    <row r="58" spans="2:5" x14ac:dyDescent="0.15">
      <c r="B58" t="s">
        <v>17</v>
      </c>
      <c r="C58" t="s">
        <v>211</v>
      </c>
      <c r="D58">
        <v>180</v>
      </c>
      <c r="E58">
        <v>0</v>
      </c>
    </row>
    <row r="59" spans="2:5" x14ac:dyDescent="0.15">
      <c r="B59" t="s">
        <v>17</v>
      </c>
      <c r="C59" t="s">
        <v>211</v>
      </c>
      <c r="D59">
        <v>180</v>
      </c>
      <c r="E59">
        <v>0</v>
      </c>
    </row>
    <row r="60" spans="2:5" x14ac:dyDescent="0.15">
      <c r="B60" t="s">
        <v>213</v>
      </c>
      <c r="C60" t="s">
        <v>211</v>
      </c>
      <c r="D60">
        <v>30</v>
      </c>
      <c r="E60">
        <v>2.0394894736842106</v>
      </c>
    </row>
    <row r="61" spans="2:5" x14ac:dyDescent="0.15">
      <c r="B61" t="s">
        <v>213</v>
      </c>
      <c r="C61" t="s">
        <v>211</v>
      </c>
      <c r="D61">
        <v>30</v>
      </c>
      <c r="E61">
        <v>2.9473578947368422</v>
      </c>
    </row>
    <row r="62" spans="2:5" x14ac:dyDescent="0.15">
      <c r="B62" t="s">
        <v>213</v>
      </c>
      <c r="C62" t="s">
        <v>211</v>
      </c>
      <c r="D62">
        <v>30</v>
      </c>
      <c r="E62">
        <v>3.2894789473684209</v>
      </c>
    </row>
    <row r="63" spans="2:5" x14ac:dyDescent="0.15">
      <c r="B63" t="s">
        <v>213</v>
      </c>
      <c r="C63" t="s">
        <v>211</v>
      </c>
      <c r="D63">
        <v>30</v>
      </c>
      <c r="E63">
        <v>2.2105263157894739</v>
      </c>
    </row>
    <row r="64" spans="2:5" x14ac:dyDescent="0.15">
      <c r="B64" t="s">
        <v>213</v>
      </c>
      <c r="C64" t="s">
        <v>211</v>
      </c>
      <c r="D64">
        <v>30</v>
      </c>
      <c r="E64">
        <v>3.2763421052631578</v>
      </c>
    </row>
    <row r="65" spans="2:5" x14ac:dyDescent="0.15">
      <c r="B65" t="s">
        <v>213</v>
      </c>
      <c r="C65" t="s">
        <v>211</v>
      </c>
      <c r="D65">
        <v>60</v>
      </c>
      <c r="E65">
        <v>0.43423684210526314</v>
      </c>
    </row>
    <row r="66" spans="2:5" x14ac:dyDescent="0.15">
      <c r="B66" t="s">
        <v>213</v>
      </c>
      <c r="C66" t="s">
        <v>211</v>
      </c>
      <c r="D66">
        <v>60</v>
      </c>
      <c r="E66">
        <v>2.2763631578947368</v>
      </c>
    </row>
    <row r="67" spans="2:5" x14ac:dyDescent="0.15">
      <c r="B67" t="s">
        <v>213</v>
      </c>
      <c r="C67" t="s">
        <v>211</v>
      </c>
      <c r="D67">
        <v>60</v>
      </c>
      <c r="E67">
        <v>0.85527894736842103</v>
      </c>
    </row>
    <row r="68" spans="2:5" x14ac:dyDescent="0.15">
      <c r="B68" t="s">
        <v>213</v>
      </c>
      <c r="C68" t="s">
        <v>211</v>
      </c>
      <c r="D68">
        <v>60</v>
      </c>
      <c r="E68">
        <v>4.0000052631578953</v>
      </c>
    </row>
    <row r="69" spans="2:5" x14ac:dyDescent="0.15">
      <c r="B69" t="s">
        <v>213</v>
      </c>
      <c r="C69" t="s">
        <v>211</v>
      </c>
      <c r="D69">
        <v>60</v>
      </c>
      <c r="E69">
        <v>1.6183894736842106</v>
      </c>
    </row>
    <row r="70" spans="2:5" x14ac:dyDescent="0.15">
      <c r="B70" t="s">
        <v>213</v>
      </c>
      <c r="C70" t="s">
        <v>211</v>
      </c>
      <c r="D70">
        <v>60</v>
      </c>
      <c r="E70">
        <v>4.0263421052631578</v>
      </c>
    </row>
    <row r="71" spans="2:5" x14ac:dyDescent="0.15">
      <c r="B71" t="s">
        <v>213</v>
      </c>
      <c r="C71" t="s">
        <v>211</v>
      </c>
      <c r="D71">
        <v>60</v>
      </c>
      <c r="E71">
        <v>1.013121052631579</v>
      </c>
    </row>
    <row r="72" spans="2:5" x14ac:dyDescent="0.15">
      <c r="B72" t="s">
        <v>213</v>
      </c>
      <c r="C72" t="s">
        <v>211</v>
      </c>
      <c r="D72">
        <v>90</v>
      </c>
      <c r="E72">
        <v>0.94736842105263164</v>
      </c>
    </row>
    <row r="73" spans="2:5" x14ac:dyDescent="0.15">
      <c r="B73" t="s">
        <v>213</v>
      </c>
      <c r="C73" t="s">
        <v>211</v>
      </c>
      <c r="D73">
        <v>90</v>
      </c>
      <c r="E73">
        <v>1.8815947368421053</v>
      </c>
    </row>
    <row r="74" spans="2:5" x14ac:dyDescent="0.15">
      <c r="B74" t="s">
        <v>213</v>
      </c>
      <c r="C74" t="s">
        <v>211</v>
      </c>
      <c r="D74">
        <v>90</v>
      </c>
      <c r="E74">
        <v>0.80269473684210535</v>
      </c>
    </row>
    <row r="75" spans="2:5" x14ac:dyDescent="0.15">
      <c r="B75" t="s">
        <v>213</v>
      </c>
      <c r="C75" t="s">
        <v>211</v>
      </c>
      <c r="D75">
        <v>90</v>
      </c>
      <c r="E75">
        <v>0.27634210526315789</v>
      </c>
    </row>
    <row r="76" spans="2:5" x14ac:dyDescent="0.15">
      <c r="B76" t="s">
        <v>213</v>
      </c>
      <c r="C76" t="s">
        <v>211</v>
      </c>
      <c r="D76">
        <v>90</v>
      </c>
      <c r="E76">
        <v>1.2368210526315788</v>
      </c>
    </row>
    <row r="77" spans="2:5" x14ac:dyDescent="0.15">
      <c r="B77" t="s">
        <v>213</v>
      </c>
      <c r="C77" t="s">
        <v>211</v>
      </c>
      <c r="D77">
        <v>90</v>
      </c>
      <c r="E77">
        <v>0.49998947368421048</v>
      </c>
    </row>
    <row r="78" spans="2:5" x14ac:dyDescent="0.15">
      <c r="B78" t="s">
        <v>213</v>
      </c>
      <c r="C78" t="s">
        <v>211</v>
      </c>
      <c r="D78">
        <v>90</v>
      </c>
      <c r="E78">
        <v>1.3421052631578947</v>
      </c>
    </row>
    <row r="79" spans="2:5" x14ac:dyDescent="0.15">
      <c r="B79" t="s">
        <v>213</v>
      </c>
      <c r="C79" t="s">
        <v>211</v>
      </c>
      <c r="D79">
        <v>120</v>
      </c>
      <c r="E79">
        <v>0.72369473684210517</v>
      </c>
    </row>
    <row r="80" spans="2:5" x14ac:dyDescent="0.15">
      <c r="B80" t="s">
        <v>213</v>
      </c>
      <c r="C80" t="s">
        <v>211</v>
      </c>
      <c r="D80">
        <v>120</v>
      </c>
      <c r="E80">
        <v>0.21053684210526313</v>
      </c>
    </row>
    <row r="81" spans="2:5" x14ac:dyDescent="0.15">
      <c r="B81" t="s">
        <v>213</v>
      </c>
      <c r="C81" t="s">
        <v>211</v>
      </c>
      <c r="D81">
        <v>120</v>
      </c>
      <c r="E81">
        <v>0.34212631578947367</v>
      </c>
    </row>
    <row r="82" spans="2:5" x14ac:dyDescent="0.15">
      <c r="B82" t="s">
        <v>213</v>
      </c>
      <c r="C82" t="s">
        <v>211</v>
      </c>
      <c r="D82">
        <v>120</v>
      </c>
      <c r="E82">
        <v>0.43423684210526314</v>
      </c>
    </row>
    <row r="83" spans="2:5" x14ac:dyDescent="0.15">
      <c r="B83" t="s">
        <v>213</v>
      </c>
      <c r="C83" t="s">
        <v>211</v>
      </c>
      <c r="D83">
        <v>120</v>
      </c>
      <c r="E83">
        <v>0.88158947368421037</v>
      </c>
    </row>
    <row r="84" spans="2:5" x14ac:dyDescent="0.15">
      <c r="B84" t="s">
        <v>213</v>
      </c>
      <c r="C84" t="s">
        <v>211</v>
      </c>
      <c r="D84">
        <v>120</v>
      </c>
      <c r="E84">
        <v>0.17106315789473683</v>
      </c>
    </row>
    <row r="85" spans="2:5" x14ac:dyDescent="0.15">
      <c r="B85" t="s">
        <v>213</v>
      </c>
      <c r="C85" t="s">
        <v>211</v>
      </c>
      <c r="D85">
        <v>120</v>
      </c>
      <c r="E85">
        <v>0.23684210526315791</v>
      </c>
    </row>
    <row r="86" spans="2:5" x14ac:dyDescent="0.15">
      <c r="B86" t="s">
        <v>213</v>
      </c>
      <c r="C86" t="s">
        <v>211</v>
      </c>
      <c r="D86">
        <v>150</v>
      </c>
      <c r="E86">
        <v>0</v>
      </c>
    </row>
    <row r="87" spans="2:5" x14ac:dyDescent="0.15">
      <c r="B87" t="s">
        <v>213</v>
      </c>
      <c r="C87" t="s">
        <v>211</v>
      </c>
      <c r="D87">
        <v>150</v>
      </c>
      <c r="E87">
        <v>0</v>
      </c>
    </row>
    <row r="88" spans="2:5" x14ac:dyDescent="0.15">
      <c r="B88" t="s">
        <v>213</v>
      </c>
      <c r="C88" t="s">
        <v>211</v>
      </c>
      <c r="D88">
        <v>150</v>
      </c>
      <c r="E88">
        <v>0</v>
      </c>
    </row>
    <row r="89" spans="2:5" x14ac:dyDescent="0.15">
      <c r="B89" t="s">
        <v>213</v>
      </c>
      <c r="C89" t="s">
        <v>211</v>
      </c>
      <c r="D89">
        <v>150</v>
      </c>
      <c r="E89">
        <v>0</v>
      </c>
    </row>
    <row r="90" spans="2:5" x14ac:dyDescent="0.15">
      <c r="B90" t="s">
        <v>213</v>
      </c>
      <c r="C90" t="s">
        <v>211</v>
      </c>
      <c r="D90">
        <v>150</v>
      </c>
      <c r="E90">
        <v>0</v>
      </c>
    </row>
    <row r="91" spans="2:5" x14ac:dyDescent="0.15">
      <c r="B91" t="s">
        <v>213</v>
      </c>
      <c r="C91" t="s">
        <v>211</v>
      </c>
      <c r="D91">
        <v>150</v>
      </c>
      <c r="E91">
        <v>0</v>
      </c>
    </row>
    <row r="92" spans="2:5" x14ac:dyDescent="0.15">
      <c r="B92" t="s">
        <v>213</v>
      </c>
      <c r="C92" t="s">
        <v>211</v>
      </c>
      <c r="D92">
        <v>150</v>
      </c>
      <c r="E92">
        <v>0</v>
      </c>
    </row>
    <row r="93" spans="2:5" x14ac:dyDescent="0.15">
      <c r="B93" t="s">
        <v>213</v>
      </c>
      <c r="C93" t="s">
        <v>211</v>
      </c>
      <c r="D93">
        <v>180</v>
      </c>
      <c r="E93">
        <v>0</v>
      </c>
    </row>
    <row r="94" spans="2:5" x14ac:dyDescent="0.15">
      <c r="B94" t="s">
        <v>213</v>
      </c>
      <c r="C94" t="s">
        <v>211</v>
      </c>
      <c r="D94">
        <v>180</v>
      </c>
      <c r="E94">
        <v>0</v>
      </c>
    </row>
    <row r="95" spans="2:5" x14ac:dyDescent="0.15">
      <c r="B95" t="s">
        <v>213</v>
      </c>
      <c r="C95" t="s">
        <v>211</v>
      </c>
      <c r="D95">
        <v>180</v>
      </c>
      <c r="E95">
        <v>0</v>
      </c>
    </row>
    <row r="96" spans="2:5" x14ac:dyDescent="0.15">
      <c r="B96" t="s">
        <v>213</v>
      </c>
      <c r="C96" t="s">
        <v>211</v>
      </c>
      <c r="D96">
        <v>180</v>
      </c>
      <c r="E96">
        <v>0</v>
      </c>
    </row>
    <row r="97" spans="2:5" x14ac:dyDescent="0.15">
      <c r="B97" t="s">
        <v>213</v>
      </c>
      <c r="C97" t="s">
        <v>211</v>
      </c>
      <c r="D97">
        <v>180</v>
      </c>
      <c r="E97">
        <v>0</v>
      </c>
    </row>
    <row r="98" spans="2:5" x14ac:dyDescent="0.15">
      <c r="B98" t="s">
        <v>213</v>
      </c>
      <c r="C98" t="s">
        <v>211</v>
      </c>
      <c r="D98">
        <v>180</v>
      </c>
      <c r="E98">
        <v>0</v>
      </c>
    </row>
    <row r="99" spans="2:5" x14ac:dyDescent="0.15">
      <c r="B99" t="s">
        <v>213</v>
      </c>
      <c r="C99" t="s">
        <v>211</v>
      </c>
      <c r="D99">
        <v>180</v>
      </c>
      <c r="E99">
        <v>0</v>
      </c>
    </row>
  </sheetData>
  <autoFilter ref="B2:E99" xr:uid="{44A9614D-9FF0-4FDB-8310-6F6FC8BD0285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BD7D-C240-400D-A96E-C853E05A1EA0}">
  <dimension ref="B1:AA73"/>
  <sheetViews>
    <sheetView zoomScale="72" zoomScaleNormal="126" workbookViewId="0">
      <selection activeCell="G22" sqref="G22"/>
    </sheetView>
  </sheetViews>
  <sheetFormatPr defaultRowHeight="13.5" x14ac:dyDescent="0.15"/>
  <cols>
    <col min="1" max="1" width="0.609375" customWidth="1"/>
    <col min="2" max="2" width="12.13671875" customWidth="1"/>
    <col min="4" max="4" width="18.51171875" customWidth="1"/>
  </cols>
  <sheetData>
    <row r="1" spans="2:27" ht="4.5" customHeight="1" x14ac:dyDescent="0.15"/>
    <row r="2" spans="2:27" x14ac:dyDescent="0.15">
      <c r="B2" s="116" t="s">
        <v>211</v>
      </c>
      <c r="C2" s="117"/>
      <c r="D2" s="117"/>
    </row>
    <row r="3" spans="2:27" x14ac:dyDescent="0.15">
      <c r="B3" t="s">
        <v>16</v>
      </c>
      <c r="C3" t="s">
        <v>15</v>
      </c>
      <c r="D3" t="s">
        <v>214</v>
      </c>
      <c r="T3" s="120" t="s">
        <v>222</v>
      </c>
      <c r="U3" s="120"/>
      <c r="V3" s="120"/>
      <c r="W3" s="120"/>
      <c r="X3" s="120"/>
      <c r="Y3" s="120"/>
      <c r="Z3" s="120"/>
      <c r="AA3" s="22"/>
    </row>
    <row r="4" spans="2:27" x14ac:dyDescent="0.15">
      <c r="B4" t="s">
        <v>4</v>
      </c>
      <c r="C4" t="s">
        <v>268</v>
      </c>
      <c r="D4" s="104">
        <f>AVERAGE(Deformação!E3:E7)/100</f>
        <v>3.3289600000000003E-2</v>
      </c>
      <c r="E4" s="8"/>
      <c r="T4" s="121" t="s">
        <v>223</v>
      </c>
      <c r="U4" s="121" t="s">
        <v>21</v>
      </c>
      <c r="V4" s="122"/>
      <c r="W4" s="122"/>
      <c r="X4" s="122"/>
      <c r="Y4" s="122"/>
      <c r="Z4" s="122"/>
      <c r="AA4" s="22"/>
    </row>
    <row r="5" spans="2:27" x14ac:dyDescent="0.15">
      <c r="B5" t="s">
        <v>4</v>
      </c>
      <c r="C5" t="s">
        <v>5</v>
      </c>
      <c r="D5" s="104">
        <f>AVERAGE(Deformação!E8:E14)/100</f>
        <v>2.6842248120300748E-2</v>
      </c>
      <c r="E5" s="8"/>
      <c r="T5" s="123" t="s">
        <v>0</v>
      </c>
      <c r="U5" s="123"/>
      <c r="V5" s="123"/>
      <c r="W5" s="106" t="s">
        <v>224</v>
      </c>
      <c r="X5" s="108" t="s">
        <v>235</v>
      </c>
      <c r="Y5" s="108" t="s">
        <v>236</v>
      </c>
      <c r="Z5" s="110"/>
      <c r="AA5" s="22"/>
    </row>
    <row r="6" spans="2:27" ht="21.75" x14ac:dyDescent="0.15">
      <c r="B6" t="s">
        <v>4</v>
      </c>
      <c r="C6" t="s">
        <v>6</v>
      </c>
      <c r="D6" s="104">
        <f>AVERAGE(Deformação!E15:E20)/100</f>
        <v>1.4912350877192981E-2</v>
      </c>
      <c r="E6" s="8"/>
      <c r="T6" s="124"/>
      <c r="U6" s="124"/>
      <c r="V6" s="124"/>
      <c r="W6" s="107"/>
      <c r="X6" s="109"/>
      <c r="Y6" s="23" t="s">
        <v>225</v>
      </c>
      <c r="Z6" s="24" t="s">
        <v>226</v>
      </c>
      <c r="AA6" s="22"/>
    </row>
    <row r="7" spans="2:27" x14ac:dyDescent="0.15">
      <c r="B7" t="s">
        <v>220</v>
      </c>
      <c r="C7" t="s">
        <v>268</v>
      </c>
      <c r="D7" s="104">
        <f>AVERAGE(Deformação!E21:E25)/100</f>
        <v>3.8947315789473677E-2</v>
      </c>
      <c r="E7" s="8"/>
      <c r="T7" s="118" t="s">
        <v>4</v>
      </c>
      <c r="U7" s="119" t="s">
        <v>5</v>
      </c>
      <c r="V7" s="56" t="s">
        <v>6</v>
      </c>
      <c r="W7" s="59">
        <v>0.64473518820000031</v>
      </c>
      <c r="X7" s="57">
        <v>0.97020055864259358</v>
      </c>
      <c r="Y7" s="57">
        <v>-0.94758770968837158</v>
      </c>
      <c r="Z7" s="58">
        <v>2.2370580860883722</v>
      </c>
      <c r="AA7" s="22"/>
    </row>
    <row r="8" spans="2:27" ht="14.25" x14ac:dyDescent="0.15">
      <c r="B8" t="s">
        <v>17</v>
      </c>
      <c r="C8" t="s">
        <v>5</v>
      </c>
      <c r="D8" s="104">
        <f>AVERAGE(Deformação!E26:E32)/100</f>
        <v>2.7744428571428573E-2</v>
      </c>
      <c r="E8" s="8"/>
      <c r="T8" s="112"/>
      <c r="U8" s="115"/>
      <c r="V8" s="43" t="s">
        <v>7</v>
      </c>
      <c r="W8" s="47" t="s">
        <v>244</v>
      </c>
      <c r="X8" s="45">
        <v>2.3599354395501433E-2</v>
      </c>
      <c r="Y8" s="45">
        <v>0.19104095404724153</v>
      </c>
      <c r="Z8" s="46">
        <v>3.4844088710194274</v>
      </c>
      <c r="AA8" s="22"/>
    </row>
    <row r="9" spans="2:27" x14ac:dyDescent="0.15">
      <c r="B9" t="s">
        <v>17</v>
      </c>
      <c r="C9" t="s">
        <v>6</v>
      </c>
      <c r="D9" s="104">
        <f>AVERAGE(Deformação!E33:E39)/100</f>
        <v>1.5526315789473687E-2</v>
      </c>
      <c r="E9" s="8"/>
      <c r="T9" s="112"/>
      <c r="U9" s="115"/>
      <c r="V9" s="43"/>
      <c r="W9" s="47"/>
      <c r="X9" s="48"/>
      <c r="Y9" s="48"/>
      <c r="Z9" s="49"/>
      <c r="AA9" s="22"/>
    </row>
    <row r="10" spans="2:27" x14ac:dyDescent="0.15">
      <c r="B10" t="s">
        <v>17</v>
      </c>
      <c r="C10" t="s">
        <v>7</v>
      </c>
      <c r="D10" s="104">
        <f>AVERAGE(Deformação!E40:E46)/100</f>
        <v>6.4849473684210519E-3</v>
      </c>
      <c r="E10" s="8"/>
      <c r="T10" s="112"/>
      <c r="U10" s="114"/>
      <c r="V10" s="50"/>
      <c r="W10" s="51"/>
      <c r="X10" s="52"/>
      <c r="Y10" s="52"/>
      <c r="Z10" s="53"/>
      <c r="AA10" s="22"/>
    </row>
    <row r="11" spans="2:27" x14ac:dyDescent="0.15">
      <c r="B11" t="s">
        <v>17</v>
      </c>
      <c r="C11" t="s">
        <v>8</v>
      </c>
      <c r="D11" s="104">
        <f>AVERAGE(Deformação!E47:E53)/100</f>
        <v>5.2255864661654135E-3</v>
      </c>
      <c r="E11" s="8"/>
      <c r="T11" s="112"/>
      <c r="U11" s="50"/>
      <c r="V11" s="50"/>
      <c r="W11" s="51"/>
      <c r="X11" s="52"/>
      <c r="Y11" s="52"/>
      <c r="Z11" s="53"/>
      <c r="AA11" s="22"/>
    </row>
    <row r="12" spans="2:27" x14ac:dyDescent="0.15">
      <c r="B12" s="2" t="s">
        <v>221</v>
      </c>
      <c r="C12" s="21" t="s">
        <v>268</v>
      </c>
      <c r="D12" s="104">
        <f>AVERAGE(Deformação!E60:E64)/100</f>
        <v>2.7526389473684212E-2</v>
      </c>
      <c r="E12" s="8"/>
      <c r="T12" s="112"/>
      <c r="U12" s="111" t="s">
        <v>6</v>
      </c>
      <c r="V12" s="25" t="s">
        <v>5</v>
      </c>
      <c r="W12" s="26">
        <v>-0.64473518820000031</v>
      </c>
      <c r="X12" s="27">
        <v>0.97020055864259358</v>
      </c>
      <c r="Y12" s="27">
        <v>-2.2370580860883722</v>
      </c>
      <c r="Z12" s="28">
        <v>0.94758770968837158</v>
      </c>
      <c r="AA12" s="22"/>
    </row>
    <row r="13" spans="2:27" x14ac:dyDescent="0.15">
      <c r="B13" s="2" t="s">
        <v>18</v>
      </c>
      <c r="C13" t="s">
        <v>5</v>
      </c>
      <c r="D13" s="104">
        <f>AVERAGE(Deformação!E65:E71)/100</f>
        <v>2.0319624060150376E-2</v>
      </c>
      <c r="E13" s="8"/>
      <c r="T13" s="112"/>
      <c r="U13" s="112"/>
      <c r="V13" s="25" t="s">
        <v>7</v>
      </c>
      <c r="W13" s="26">
        <v>1.1929897243333343</v>
      </c>
      <c r="X13" s="27">
        <v>0.17097815959000207</v>
      </c>
      <c r="Y13" s="27">
        <v>-0.31994980649580373</v>
      </c>
      <c r="Z13" s="28">
        <v>2.7059292551624723</v>
      </c>
      <c r="AA13" s="22"/>
    </row>
    <row r="14" spans="2:27" ht="14.25" x14ac:dyDescent="0.15">
      <c r="B14" s="2" t="s">
        <v>18</v>
      </c>
      <c r="C14" t="s">
        <v>6</v>
      </c>
      <c r="D14" s="104">
        <f>AVERAGE(Deformação!E72:E78)/100</f>
        <v>9.9813082706766924E-3</v>
      </c>
      <c r="E14" s="8"/>
      <c r="T14" s="112"/>
      <c r="U14" s="112"/>
      <c r="V14" s="25" t="s">
        <v>8</v>
      </c>
      <c r="W14" s="29" t="s">
        <v>238</v>
      </c>
      <c r="X14" s="30"/>
      <c r="Y14" s="30"/>
      <c r="Z14" s="31"/>
      <c r="AA14" s="22"/>
    </row>
    <row r="15" spans="2:27" ht="14.25" x14ac:dyDescent="0.15">
      <c r="B15" s="2" t="s">
        <v>18</v>
      </c>
      <c r="C15" t="s">
        <v>7</v>
      </c>
      <c r="D15" s="104">
        <f>AVERAGE(Deformação!E79:E85)/100</f>
        <v>4.2858421052631582E-3</v>
      </c>
      <c r="E15" s="8"/>
      <c r="T15" s="112"/>
      <c r="U15" s="111"/>
      <c r="V15" s="32" t="s">
        <v>227</v>
      </c>
      <c r="W15" s="33" t="s">
        <v>238</v>
      </c>
      <c r="X15" s="34"/>
      <c r="Y15" s="34"/>
      <c r="Z15" s="35"/>
      <c r="AA15" s="22"/>
    </row>
    <row r="16" spans="2:27" ht="14.25" x14ac:dyDescent="0.15">
      <c r="B16" s="2"/>
      <c r="D16" s="8"/>
      <c r="T16" s="112"/>
      <c r="U16" s="111" t="s">
        <v>7</v>
      </c>
      <c r="V16" s="25" t="s">
        <v>5</v>
      </c>
      <c r="W16" s="29" t="s">
        <v>245</v>
      </c>
      <c r="X16" s="27">
        <v>2.3599354395501433E-2</v>
      </c>
      <c r="Y16" s="27">
        <v>-3.4844088710194274</v>
      </c>
      <c r="Z16" s="28">
        <v>-0.19104095404724153</v>
      </c>
      <c r="AA16" s="22"/>
    </row>
    <row r="17" spans="2:27" x14ac:dyDescent="0.15">
      <c r="B17" s="2"/>
      <c r="D17" s="8"/>
      <c r="T17" s="112"/>
      <c r="U17" s="112"/>
      <c r="V17" s="25" t="s">
        <v>6</v>
      </c>
      <c r="W17" s="26">
        <v>-1.1929897243333343</v>
      </c>
      <c r="X17" s="27">
        <v>0.17097815959000207</v>
      </c>
      <c r="Y17" s="27">
        <v>-2.7059292551624723</v>
      </c>
      <c r="Z17" s="28">
        <v>0.31994980649580373</v>
      </c>
      <c r="AA17" s="22"/>
    </row>
    <row r="18" spans="2:27" x14ac:dyDescent="0.15">
      <c r="T18" s="112"/>
      <c r="U18" s="112"/>
      <c r="V18" s="25"/>
      <c r="W18" s="29"/>
      <c r="X18" s="30"/>
      <c r="Y18" s="30"/>
      <c r="Z18" s="31"/>
      <c r="AA18" s="22"/>
    </row>
    <row r="19" spans="2:27" x14ac:dyDescent="0.15">
      <c r="T19" s="112"/>
      <c r="U19" s="111"/>
      <c r="V19" s="32"/>
      <c r="W19" s="33"/>
      <c r="X19" s="34"/>
      <c r="Y19" s="34"/>
      <c r="Z19" s="35"/>
      <c r="AA19" s="22"/>
    </row>
    <row r="20" spans="2:27" x14ac:dyDescent="0.15">
      <c r="T20" s="112"/>
      <c r="U20" s="111"/>
      <c r="V20" s="25"/>
      <c r="W20" s="29"/>
      <c r="X20" s="30"/>
      <c r="Y20" s="30"/>
      <c r="Z20" s="31"/>
      <c r="AA20" s="22"/>
    </row>
    <row r="21" spans="2:27" x14ac:dyDescent="0.15">
      <c r="T21" s="112"/>
      <c r="U21" s="112"/>
      <c r="V21" s="25"/>
      <c r="W21" s="29"/>
      <c r="X21" s="30"/>
      <c r="Y21" s="30"/>
      <c r="Z21" s="31"/>
      <c r="AA21" s="22"/>
    </row>
    <row r="22" spans="2:27" x14ac:dyDescent="0.15">
      <c r="T22" s="112"/>
      <c r="U22" s="112"/>
      <c r="V22" s="25"/>
      <c r="W22" s="29"/>
      <c r="X22" s="30"/>
      <c r="Y22" s="30"/>
      <c r="Z22" s="31"/>
      <c r="AA22" s="22"/>
    </row>
    <row r="23" spans="2:27" x14ac:dyDescent="0.15">
      <c r="T23" s="112"/>
      <c r="U23" s="111"/>
      <c r="V23" s="32"/>
      <c r="W23" s="33"/>
      <c r="X23" s="34"/>
      <c r="Y23" s="34"/>
      <c r="Z23" s="35"/>
      <c r="AA23" s="22"/>
    </row>
    <row r="24" spans="2:27" x14ac:dyDescent="0.15">
      <c r="T24" s="112"/>
      <c r="U24" s="111"/>
      <c r="V24" s="25"/>
      <c r="W24" s="29"/>
      <c r="X24" s="30"/>
      <c r="Y24" s="30"/>
      <c r="Z24" s="31"/>
      <c r="AA24" s="22"/>
    </row>
    <row r="25" spans="2:27" x14ac:dyDescent="0.15">
      <c r="T25" s="112"/>
      <c r="U25" s="112"/>
      <c r="V25" s="25"/>
      <c r="W25" s="29"/>
      <c r="X25" s="30"/>
      <c r="Y25" s="30"/>
      <c r="Z25" s="31"/>
      <c r="AA25" s="22"/>
    </row>
    <row r="26" spans="2:27" x14ac:dyDescent="0.15">
      <c r="T26" s="112"/>
      <c r="U26" s="112"/>
      <c r="V26" s="25"/>
      <c r="W26" s="29"/>
      <c r="X26" s="30"/>
      <c r="Y26" s="30"/>
      <c r="Z26" s="31"/>
      <c r="AA26" s="22"/>
    </row>
    <row r="27" spans="2:27" x14ac:dyDescent="0.15">
      <c r="T27" s="111"/>
      <c r="U27" s="111"/>
      <c r="V27" s="32"/>
      <c r="W27" s="33"/>
      <c r="X27" s="34"/>
      <c r="Y27" s="34"/>
      <c r="Z27" s="35"/>
      <c r="AA27" s="22"/>
    </row>
    <row r="28" spans="2:27" x14ac:dyDescent="0.15">
      <c r="T28" s="111" t="s">
        <v>228</v>
      </c>
      <c r="U28" s="114" t="s">
        <v>5</v>
      </c>
      <c r="V28" s="43" t="s">
        <v>6</v>
      </c>
      <c r="W28" s="44">
        <v>1.1202887215714292</v>
      </c>
      <c r="X28" s="45">
        <v>0.88556290220947009</v>
      </c>
      <c r="Y28" s="45">
        <v>-0.76263551803243113</v>
      </c>
      <c r="Z28" s="46">
        <v>3.0032129611752896</v>
      </c>
      <c r="AA28" s="22"/>
    </row>
    <row r="29" spans="2:27" ht="14.25" x14ac:dyDescent="0.15">
      <c r="T29" s="112"/>
      <c r="U29" s="115"/>
      <c r="V29" s="43" t="s">
        <v>7</v>
      </c>
      <c r="W29" s="47" t="s">
        <v>246</v>
      </c>
      <c r="X29" s="45">
        <v>5.8723746590612661E-3</v>
      </c>
      <c r="Y29" s="45">
        <v>0.45917576053899678</v>
      </c>
      <c r="Z29" s="46">
        <v>4.2250242397467179</v>
      </c>
      <c r="AA29" s="22"/>
    </row>
    <row r="30" spans="2:27" ht="14.25" x14ac:dyDescent="0.15">
      <c r="T30" s="112"/>
      <c r="U30" s="115"/>
      <c r="V30" s="43" t="s">
        <v>8</v>
      </c>
      <c r="W30" s="47" t="s">
        <v>247</v>
      </c>
      <c r="X30" s="45">
        <v>4.4346907465303671E-5</v>
      </c>
      <c r="Y30" s="45">
        <v>1.3633126023961391</v>
      </c>
      <c r="Z30" s="46">
        <v>5.1291610816038622</v>
      </c>
      <c r="AA30" s="22"/>
    </row>
    <row r="31" spans="2:27" ht="14.25" x14ac:dyDescent="0.15">
      <c r="T31" s="112"/>
      <c r="U31" s="114"/>
      <c r="V31" s="50" t="s">
        <v>227</v>
      </c>
      <c r="W31" s="51" t="s">
        <v>248</v>
      </c>
      <c r="X31" s="54">
        <v>2.130530978411704E-5</v>
      </c>
      <c r="Y31" s="54">
        <v>1.4892486928247093</v>
      </c>
      <c r="Z31" s="55">
        <v>5.255097172032432</v>
      </c>
      <c r="AA31" s="22"/>
    </row>
    <row r="32" spans="2:27" x14ac:dyDescent="0.15">
      <c r="T32" s="112"/>
      <c r="U32" s="111" t="s">
        <v>6</v>
      </c>
      <c r="V32" s="25" t="s">
        <v>5</v>
      </c>
      <c r="W32" s="26">
        <v>-1.1202887215714292</v>
      </c>
      <c r="X32" s="27">
        <v>0.88556290220947009</v>
      </c>
      <c r="Y32" s="27">
        <v>-3.0032129611752896</v>
      </c>
      <c r="Z32" s="28">
        <v>0.76263551803243113</v>
      </c>
      <c r="AA32" s="22"/>
    </row>
    <row r="33" spans="20:27" x14ac:dyDescent="0.15">
      <c r="T33" s="112"/>
      <c r="U33" s="112"/>
      <c r="V33" s="25" t="s">
        <v>7</v>
      </c>
      <c r="W33" s="26">
        <v>1.2218112785714279</v>
      </c>
      <c r="X33" s="27">
        <v>0.42851274521067695</v>
      </c>
      <c r="Y33" s="27">
        <v>-0.4970555216024013</v>
      </c>
      <c r="Z33" s="28">
        <v>2.9406780787452571</v>
      </c>
      <c r="AA33" s="22"/>
    </row>
    <row r="34" spans="20:27" ht="14.25" x14ac:dyDescent="0.15">
      <c r="T34" s="112"/>
      <c r="U34" s="112"/>
      <c r="V34" s="25" t="s">
        <v>8</v>
      </c>
      <c r="W34" s="29" t="s">
        <v>249</v>
      </c>
      <c r="X34" s="27">
        <v>6.2697126268372559E-3</v>
      </c>
      <c r="Y34" s="27">
        <v>0.40708132025474275</v>
      </c>
      <c r="Z34" s="28">
        <v>3.8448149206024</v>
      </c>
      <c r="AA34" s="22"/>
    </row>
    <row r="35" spans="20:27" ht="14.25" x14ac:dyDescent="0.15">
      <c r="T35" s="112"/>
      <c r="U35" s="111"/>
      <c r="V35" s="32" t="s">
        <v>227</v>
      </c>
      <c r="W35" s="33" t="s">
        <v>250</v>
      </c>
      <c r="X35" s="36">
        <v>3.1383374088904681E-3</v>
      </c>
      <c r="Y35" s="36">
        <v>0.53301741068331365</v>
      </c>
      <c r="Z35" s="37">
        <v>3.9707510110309694</v>
      </c>
      <c r="AA35" s="22"/>
    </row>
    <row r="36" spans="20:27" ht="14.25" x14ac:dyDescent="0.15">
      <c r="T36" s="112"/>
      <c r="U36" s="111" t="s">
        <v>7</v>
      </c>
      <c r="V36" s="25" t="s">
        <v>5</v>
      </c>
      <c r="W36" s="29" t="s">
        <v>251</v>
      </c>
      <c r="X36" s="27">
        <v>5.8723746590612661E-3</v>
      </c>
      <c r="Y36" s="27">
        <v>-4.2250242397467179</v>
      </c>
      <c r="Z36" s="28">
        <v>-0.45917576053899678</v>
      </c>
      <c r="AA36" s="22"/>
    </row>
    <row r="37" spans="20:27" x14ac:dyDescent="0.15">
      <c r="T37" s="112"/>
      <c r="U37" s="112"/>
      <c r="V37" s="25" t="s">
        <v>6</v>
      </c>
      <c r="W37" s="26">
        <v>-1.2218112785714279</v>
      </c>
      <c r="X37" s="27">
        <v>0.42851274521067695</v>
      </c>
      <c r="Y37" s="27">
        <v>-2.9406780787452571</v>
      </c>
      <c r="Z37" s="28">
        <v>0.4970555216024013</v>
      </c>
      <c r="AA37" s="22"/>
    </row>
    <row r="38" spans="20:27" x14ac:dyDescent="0.15">
      <c r="T38" s="112"/>
      <c r="U38" s="112"/>
      <c r="V38" s="25" t="s">
        <v>8</v>
      </c>
      <c r="W38" s="26">
        <v>0.90413684185714327</v>
      </c>
      <c r="X38" s="27">
        <v>1</v>
      </c>
      <c r="Y38" s="27">
        <v>-0.81472995831668593</v>
      </c>
      <c r="Z38" s="28">
        <v>2.6230036420309726</v>
      </c>
      <c r="AA38" s="22"/>
    </row>
    <row r="39" spans="20:27" x14ac:dyDescent="0.15">
      <c r="T39" s="112"/>
      <c r="U39" s="111"/>
      <c r="V39" s="32" t="s">
        <v>227</v>
      </c>
      <c r="W39" s="38">
        <v>1.0300729322857136</v>
      </c>
      <c r="X39" s="36">
        <v>0.86326752883495139</v>
      </c>
      <c r="Y39" s="36">
        <v>-0.68879386788811492</v>
      </c>
      <c r="Z39" s="37">
        <v>2.7489397324595419</v>
      </c>
      <c r="AA39" s="22"/>
    </row>
    <row r="40" spans="20:27" ht="14.25" x14ac:dyDescent="0.15">
      <c r="T40" s="112"/>
      <c r="U40" s="111" t="s">
        <v>8</v>
      </c>
      <c r="V40" s="25" t="s">
        <v>5</v>
      </c>
      <c r="W40" s="29" t="s">
        <v>252</v>
      </c>
      <c r="X40" s="27">
        <v>4.4346907465303671E-5</v>
      </c>
      <c r="Y40" s="27">
        <v>-5.1291610816038622</v>
      </c>
      <c r="Z40" s="28">
        <v>-1.3633126023961391</v>
      </c>
      <c r="AA40" s="22"/>
    </row>
    <row r="41" spans="20:27" ht="14.25" x14ac:dyDescent="0.15">
      <c r="T41" s="112"/>
      <c r="U41" s="112"/>
      <c r="V41" s="25" t="s">
        <v>6</v>
      </c>
      <c r="W41" s="29" t="s">
        <v>253</v>
      </c>
      <c r="X41" s="27">
        <v>6.2697126268372559E-3</v>
      </c>
      <c r="Y41" s="27">
        <v>-3.8448149206024</v>
      </c>
      <c r="Z41" s="28">
        <v>-0.40708132025474275</v>
      </c>
      <c r="AA41" s="22"/>
    </row>
    <row r="42" spans="20:27" x14ac:dyDescent="0.15">
      <c r="T42" s="112"/>
      <c r="U42" s="112"/>
      <c r="V42" s="25" t="s">
        <v>7</v>
      </c>
      <c r="W42" s="26">
        <v>-0.90413684185714327</v>
      </c>
      <c r="X42" s="27">
        <v>1</v>
      </c>
      <c r="Y42" s="27">
        <v>-2.6230036420309726</v>
      </c>
      <c r="Z42" s="28">
        <v>0.81472995831668593</v>
      </c>
      <c r="AA42" s="22"/>
    </row>
    <row r="43" spans="20:27" x14ac:dyDescent="0.15">
      <c r="T43" s="112"/>
      <c r="U43" s="111"/>
      <c r="V43" s="32" t="s">
        <v>227</v>
      </c>
      <c r="W43" s="38">
        <v>0.12593609042857037</v>
      </c>
      <c r="X43" s="36">
        <v>1</v>
      </c>
      <c r="Y43" s="36">
        <v>-1.5929307097452601</v>
      </c>
      <c r="Z43" s="37">
        <v>1.844802890602401</v>
      </c>
      <c r="AA43" s="22"/>
    </row>
    <row r="44" spans="20:27" ht="14.25" x14ac:dyDescent="0.15">
      <c r="T44" s="112"/>
      <c r="U44" s="111" t="s">
        <v>227</v>
      </c>
      <c r="V44" s="25" t="s">
        <v>5</v>
      </c>
      <c r="W44" s="29" t="s">
        <v>254</v>
      </c>
      <c r="X44" s="27">
        <v>2.130530978411704E-5</v>
      </c>
      <c r="Y44" s="27">
        <v>-5.255097172032432</v>
      </c>
      <c r="Z44" s="28">
        <v>-1.4892486928247093</v>
      </c>
      <c r="AA44" s="22"/>
    </row>
    <row r="45" spans="20:27" ht="14.25" x14ac:dyDescent="0.15">
      <c r="T45" s="112"/>
      <c r="U45" s="112"/>
      <c r="V45" s="25" t="s">
        <v>6</v>
      </c>
      <c r="W45" s="29" t="s">
        <v>255</v>
      </c>
      <c r="X45" s="27">
        <v>3.1383374088904681E-3</v>
      </c>
      <c r="Y45" s="27">
        <v>-3.9707510110309694</v>
      </c>
      <c r="Z45" s="28">
        <v>-0.53301741068331365</v>
      </c>
      <c r="AA45" s="22"/>
    </row>
    <row r="46" spans="20:27" x14ac:dyDescent="0.15">
      <c r="T46" s="112"/>
      <c r="U46" s="112"/>
      <c r="V46" s="25" t="s">
        <v>7</v>
      </c>
      <c r="W46" s="26">
        <v>-1.0300729322857136</v>
      </c>
      <c r="X46" s="27">
        <v>0.86326752883495139</v>
      </c>
      <c r="Y46" s="27">
        <v>-2.7489397324595419</v>
      </c>
      <c r="Z46" s="28">
        <v>0.68879386788811492</v>
      </c>
      <c r="AA46" s="22"/>
    </row>
    <row r="47" spans="20:27" x14ac:dyDescent="0.15">
      <c r="T47" s="111"/>
      <c r="U47" s="111"/>
      <c r="V47" s="32" t="s">
        <v>8</v>
      </c>
      <c r="W47" s="38">
        <v>-0.12593609042857037</v>
      </c>
      <c r="X47" s="36">
        <v>1</v>
      </c>
      <c r="Y47" s="36">
        <v>-1.844802890602401</v>
      </c>
      <c r="Z47" s="37">
        <v>1.5929307097452601</v>
      </c>
      <c r="AA47" s="22"/>
    </row>
    <row r="48" spans="20:27" x14ac:dyDescent="0.15">
      <c r="T48" s="111" t="s">
        <v>229</v>
      </c>
      <c r="U48" s="114" t="s">
        <v>5</v>
      </c>
      <c r="V48" s="43" t="s">
        <v>6</v>
      </c>
      <c r="W48" s="44">
        <v>0.72067654140000115</v>
      </c>
      <c r="X48" s="45">
        <v>1</v>
      </c>
      <c r="Y48" s="45">
        <v>-1.0426305501465296</v>
      </c>
      <c r="Z48" s="46">
        <v>2.4839836329465319</v>
      </c>
      <c r="AA48" s="22"/>
    </row>
    <row r="49" spans="20:27" x14ac:dyDescent="0.15">
      <c r="T49" s="112"/>
      <c r="U49" s="115"/>
      <c r="V49" s="43" t="s">
        <v>7</v>
      </c>
      <c r="W49" s="44">
        <v>1.7545081202571413</v>
      </c>
      <c r="X49" s="45">
        <v>5.1871614424244539E-2</v>
      </c>
      <c r="Y49" s="45">
        <v>-8.7989712893894456E-3</v>
      </c>
      <c r="Z49" s="46">
        <v>3.5178152118036721</v>
      </c>
      <c r="AA49" s="22"/>
    </row>
    <row r="50" spans="20:27" ht="14.25" x14ac:dyDescent="0.15">
      <c r="T50" s="112"/>
      <c r="U50" s="115"/>
      <c r="V50" s="43" t="s">
        <v>8</v>
      </c>
      <c r="W50" s="47" t="s">
        <v>239</v>
      </c>
      <c r="X50" s="45">
        <v>3.8520765506990474E-3</v>
      </c>
      <c r="Y50" s="45">
        <v>0.56074764528203858</v>
      </c>
      <c r="Z50" s="46">
        <v>4.0873618283751014</v>
      </c>
      <c r="AA50" s="22"/>
    </row>
    <row r="51" spans="20:27" ht="14.25" x14ac:dyDescent="0.15">
      <c r="T51" s="112"/>
      <c r="U51" s="114"/>
      <c r="V51" s="50" t="s">
        <v>227</v>
      </c>
      <c r="W51" s="51" t="s">
        <v>238</v>
      </c>
      <c r="X51" s="52"/>
      <c r="Y51" s="52"/>
      <c r="Z51" s="53"/>
      <c r="AA51" s="22"/>
    </row>
    <row r="52" spans="20:27" x14ac:dyDescent="0.15">
      <c r="T52" s="112"/>
      <c r="U52" s="111" t="s">
        <v>6</v>
      </c>
      <c r="V52" s="25" t="s">
        <v>5</v>
      </c>
      <c r="W52" s="26">
        <v>-0.72067654140000115</v>
      </c>
      <c r="X52" s="27">
        <v>1</v>
      </c>
      <c r="Y52" s="27">
        <v>-2.4839836329465319</v>
      </c>
      <c r="Z52" s="28">
        <v>1.0426305501465296</v>
      </c>
      <c r="AA52" s="22"/>
    </row>
    <row r="53" spans="20:27" x14ac:dyDescent="0.15">
      <c r="T53" s="112"/>
      <c r="U53" s="112"/>
      <c r="V53" s="25" t="s">
        <v>7</v>
      </c>
      <c r="W53" s="26">
        <v>1.0338315788571402</v>
      </c>
      <c r="X53" s="27">
        <v>0.51126773625166466</v>
      </c>
      <c r="Y53" s="27">
        <v>-0.57584020422429583</v>
      </c>
      <c r="Z53" s="28">
        <v>2.6435033619385759</v>
      </c>
      <c r="AA53" s="22"/>
    </row>
    <row r="54" spans="20:27" x14ac:dyDescent="0.15">
      <c r="T54" s="112"/>
      <c r="U54" s="112"/>
      <c r="V54" s="25" t="s">
        <v>8</v>
      </c>
      <c r="W54" s="26">
        <v>1.6033781954285686</v>
      </c>
      <c r="X54" s="27">
        <v>5.1461119678063119E-2</v>
      </c>
      <c r="Y54" s="27">
        <v>-6.293587652868915E-3</v>
      </c>
      <c r="Z54" s="28">
        <v>3.2130499785100062</v>
      </c>
      <c r="AA54" s="22"/>
    </row>
    <row r="55" spans="20:27" ht="14.25" x14ac:dyDescent="0.15">
      <c r="T55" s="112"/>
      <c r="U55" s="111"/>
      <c r="V55" s="32" t="s">
        <v>227</v>
      </c>
      <c r="W55" s="33" t="s">
        <v>238</v>
      </c>
      <c r="X55" s="34"/>
      <c r="Y55" s="34"/>
      <c r="Z55" s="35"/>
      <c r="AA55" s="22"/>
    </row>
    <row r="56" spans="20:27" x14ac:dyDescent="0.15">
      <c r="T56" s="112"/>
      <c r="U56" s="111" t="s">
        <v>7</v>
      </c>
      <c r="V56" s="25" t="s">
        <v>5</v>
      </c>
      <c r="W56" s="26">
        <v>-1.7545081202571413</v>
      </c>
      <c r="X56" s="27">
        <v>5.1871614424244539E-2</v>
      </c>
      <c r="Y56" s="27">
        <v>-3.5178152118036721</v>
      </c>
      <c r="Z56" s="28">
        <v>8.7989712893894456E-3</v>
      </c>
      <c r="AA56" s="22"/>
    </row>
    <row r="57" spans="20:27" x14ac:dyDescent="0.15">
      <c r="T57" s="112"/>
      <c r="U57" s="112"/>
      <c r="V57" s="25" t="s">
        <v>6</v>
      </c>
      <c r="W57" s="26">
        <v>-1.0338315788571402</v>
      </c>
      <c r="X57" s="27">
        <v>0.51126773625166466</v>
      </c>
      <c r="Y57" s="27">
        <v>-2.6435033619385759</v>
      </c>
      <c r="Z57" s="28">
        <v>0.57584020422429583</v>
      </c>
      <c r="AA57" s="22"/>
    </row>
    <row r="58" spans="20:27" x14ac:dyDescent="0.15">
      <c r="T58" s="112"/>
      <c r="U58" s="112"/>
      <c r="V58" s="25" t="s">
        <v>8</v>
      </c>
      <c r="W58" s="26">
        <v>0.56954661657142858</v>
      </c>
      <c r="X58" s="27">
        <v>1</v>
      </c>
      <c r="Y58" s="27">
        <v>-1.0401251665100082</v>
      </c>
      <c r="Z58" s="28">
        <v>2.1792183996528651</v>
      </c>
      <c r="AA58" s="22"/>
    </row>
    <row r="59" spans="20:27" ht="14.25" x14ac:dyDescent="0.15">
      <c r="T59" s="112"/>
      <c r="U59" s="111"/>
      <c r="V59" s="32" t="s">
        <v>227</v>
      </c>
      <c r="W59" s="33" t="s">
        <v>238</v>
      </c>
      <c r="X59" s="34"/>
      <c r="Y59" s="34"/>
      <c r="Z59" s="35"/>
      <c r="AA59" s="22"/>
    </row>
    <row r="60" spans="20:27" ht="14.25" x14ac:dyDescent="0.15">
      <c r="T60" s="112"/>
      <c r="U60" s="111" t="s">
        <v>8</v>
      </c>
      <c r="V60" s="25" t="s">
        <v>5</v>
      </c>
      <c r="W60" s="29" t="s">
        <v>240</v>
      </c>
      <c r="X60" s="27">
        <v>3.8520765506990474E-3</v>
      </c>
      <c r="Y60" s="27">
        <v>-4.0873618283751014</v>
      </c>
      <c r="Z60" s="28">
        <v>-0.56074764528203858</v>
      </c>
      <c r="AA60" s="22"/>
    </row>
    <row r="61" spans="20:27" x14ac:dyDescent="0.15">
      <c r="T61" s="112"/>
      <c r="U61" s="112"/>
      <c r="V61" s="25" t="s">
        <v>6</v>
      </c>
      <c r="W61" s="26">
        <v>-1.6033781954285686</v>
      </c>
      <c r="X61" s="27">
        <v>5.1461119678063119E-2</v>
      </c>
      <c r="Y61" s="27">
        <v>-3.2130499785100062</v>
      </c>
      <c r="Z61" s="28">
        <v>6.293587652868915E-3</v>
      </c>
      <c r="AA61" s="22"/>
    </row>
    <row r="62" spans="20:27" x14ac:dyDescent="0.15">
      <c r="T62" s="112"/>
      <c r="U62" s="112"/>
      <c r="V62" s="25" t="s">
        <v>7</v>
      </c>
      <c r="W62" s="26">
        <v>-0.56954661657142858</v>
      </c>
      <c r="X62" s="27">
        <v>1</v>
      </c>
      <c r="Y62" s="27">
        <v>-2.1792183996528651</v>
      </c>
      <c r="Z62" s="28">
        <v>1.0401251665100082</v>
      </c>
      <c r="AA62" s="22"/>
    </row>
    <row r="63" spans="20:27" ht="14.25" x14ac:dyDescent="0.15">
      <c r="T63" s="112"/>
      <c r="U63" s="111"/>
      <c r="V63" s="32" t="s">
        <v>227</v>
      </c>
      <c r="W63" s="33" t="s">
        <v>238</v>
      </c>
      <c r="X63" s="34"/>
      <c r="Y63" s="34"/>
      <c r="Z63" s="35"/>
      <c r="AA63" s="22"/>
    </row>
    <row r="64" spans="20:27" ht="14.25" x14ac:dyDescent="0.15">
      <c r="T64" s="112"/>
      <c r="U64" s="111" t="s">
        <v>227</v>
      </c>
      <c r="V64" s="25" t="s">
        <v>5</v>
      </c>
      <c r="W64" s="29" t="s">
        <v>243</v>
      </c>
      <c r="X64" s="30"/>
      <c r="Y64" s="30"/>
      <c r="Z64" s="31"/>
      <c r="AA64" s="22"/>
    </row>
    <row r="65" spans="20:27" ht="14.25" x14ac:dyDescent="0.15">
      <c r="T65" s="112"/>
      <c r="U65" s="112"/>
      <c r="V65" s="25" t="s">
        <v>6</v>
      </c>
      <c r="W65" s="29" t="s">
        <v>243</v>
      </c>
      <c r="X65" s="30"/>
      <c r="Y65" s="30"/>
      <c r="Z65" s="31"/>
      <c r="AA65" s="22"/>
    </row>
    <row r="66" spans="20:27" ht="14.25" x14ac:dyDescent="0.15">
      <c r="T66" s="112"/>
      <c r="U66" s="112"/>
      <c r="V66" s="25" t="s">
        <v>7</v>
      </c>
      <c r="W66" s="29" t="s">
        <v>243</v>
      </c>
      <c r="X66" s="30"/>
      <c r="Y66" s="30"/>
      <c r="Z66" s="31"/>
      <c r="AA66" s="22"/>
    </row>
    <row r="67" spans="20:27" ht="14.25" x14ac:dyDescent="0.15">
      <c r="T67" s="113"/>
      <c r="U67" s="113"/>
      <c r="V67" s="39" t="s">
        <v>8</v>
      </c>
      <c r="W67" s="40" t="s">
        <v>243</v>
      </c>
      <c r="X67" s="41"/>
      <c r="Y67" s="41"/>
      <c r="Z67" s="42"/>
      <c r="AA67" s="22"/>
    </row>
    <row r="68" spans="20:27" x14ac:dyDescent="0.15">
      <c r="T68" s="105" t="s">
        <v>230</v>
      </c>
      <c r="U68" s="105"/>
      <c r="V68" s="105"/>
      <c r="W68" s="105"/>
      <c r="X68" s="105"/>
      <c r="Y68" s="105"/>
      <c r="Z68" s="105"/>
      <c r="AA68" s="22"/>
    </row>
    <row r="69" spans="20:27" x14ac:dyDescent="0.15">
      <c r="T69" s="105" t="s">
        <v>231</v>
      </c>
      <c r="U69" s="105"/>
      <c r="V69" s="105"/>
      <c r="W69" s="105"/>
      <c r="X69" s="105"/>
      <c r="Y69" s="105"/>
      <c r="Z69" s="105"/>
      <c r="AA69" s="22"/>
    </row>
    <row r="70" spans="20:27" x14ac:dyDescent="0.15">
      <c r="T70" s="105" t="s">
        <v>241</v>
      </c>
      <c r="U70" s="105"/>
      <c r="V70" s="105"/>
      <c r="W70" s="105"/>
      <c r="X70" s="105"/>
      <c r="Y70" s="105"/>
      <c r="Z70" s="105"/>
      <c r="AA70" s="22"/>
    </row>
    <row r="71" spans="20:27" x14ac:dyDescent="0.15">
      <c r="T71" s="105" t="s">
        <v>242</v>
      </c>
      <c r="U71" s="105"/>
      <c r="V71" s="105"/>
      <c r="W71" s="105"/>
      <c r="X71" s="105"/>
      <c r="Y71" s="105"/>
      <c r="Z71" s="105"/>
      <c r="AA71" s="22"/>
    </row>
    <row r="72" spans="20:27" x14ac:dyDescent="0.15">
      <c r="T72" s="105" t="s">
        <v>234</v>
      </c>
      <c r="U72" s="105"/>
      <c r="V72" s="105"/>
      <c r="W72" s="105"/>
      <c r="X72" s="105"/>
      <c r="Y72" s="105"/>
      <c r="Z72" s="105"/>
      <c r="AA72" s="22"/>
    </row>
    <row r="73" spans="20:27" x14ac:dyDescent="0.15">
      <c r="Z73" s="22"/>
    </row>
  </sheetData>
  <mergeCells count="30">
    <mergeCell ref="B2:D2"/>
    <mergeCell ref="T28:T47"/>
    <mergeCell ref="U28:U31"/>
    <mergeCell ref="U32:U35"/>
    <mergeCell ref="U36:U39"/>
    <mergeCell ref="U40:U43"/>
    <mergeCell ref="U44:U47"/>
    <mergeCell ref="T7:T27"/>
    <mergeCell ref="U7:U10"/>
    <mergeCell ref="U12:U15"/>
    <mergeCell ref="U16:U19"/>
    <mergeCell ref="U20:U23"/>
    <mergeCell ref="U24:U27"/>
    <mergeCell ref="T3:Z3"/>
    <mergeCell ref="T4:Z4"/>
    <mergeCell ref="T5:V6"/>
    <mergeCell ref="W5:W6"/>
    <mergeCell ref="X5:X6"/>
    <mergeCell ref="Y5:Z5"/>
    <mergeCell ref="T48:T67"/>
    <mergeCell ref="U48:U51"/>
    <mergeCell ref="U52:U55"/>
    <mergeCell ref="U56:U59"/>
    <mergeCell ref="U60:U63"/>
    <mergeCell ref="U64:U67"/>
    <mergeCell ref="T68:Z68"/>
    <mergeCell ref="T69:Z69"/>
    <mergeCell ref="T70:Z70"/>
    <mergeCell ref="T71:Z71"/>
    <mergeCell ref="T72:Z7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7462-7C15-4F70-B2AA-718A60064C68}">
  <dimension ref="A1:D16"/>
  <sheetViews>
    <sheetView workbookViewId="0">
      <selection activeCell="C4" sqref="C4:D14"/>
    </sheetView>
  </sheetViews>
  <sheetFormatPr defaultRowHeight="13.5" x14ac:dyDescent="0.15"/>
  <cols>
    <col min="3" max="3" width="8.703125" bestFit="1" customWidth="1"/>
  </cols>
  <sheetData>
    <row r="1" spans="1:4" x14ac:dyDescent="0.15">
      <c r="A1" t="s">
        <v>288</v>
      </c>
    </row>
    <row r="3" spans="1:4" ht="39" x14ac:dyDescent="0.15">
      <c r="A3" s="102" t="s">
        <v>289</v>
      </c>
      <c r="B3" s="102" t="s">
        <v>290</v>
      </c>
      <c r="C3" s="102" t="s">
        <v>291</v>
      </c>
      <c r="D3" s="102" t="s">
        <v>292</v>
      </c>
    </row>
    <row r="4" spans="1:4" x14ac:dyDescent="0.15">
      <c r="A4" s="103" t="s">
        <v>293</v>
      </c>
      <c r="B4" s="103" t="s">
        <v>294</v>
      </c>
      <c r="C4" s="103" t="s">
        <v>271</v>
      </c>
      <c r="D4" s="103" t="s">
        <v>272</v>
      </c>
    </row>
    <row r="5" spans="1:4" x14ac:dyDescent="0.15">
      <c r="A5" s="103" t="s">
        <v>295</v>
      </c>
      <c r="B5" s="103" t="s">
        <v>296</v>
      </c>
      <c r="C5" s="103" t="s">
        <v>273</v>
      </c>
      <c r="D5" s="103" t="s">
        <v>274</v>
      </c>
    </row>
    <row r="6" spans="1:4" x14ac:dyDescent="0.15">
      <c r="A6" s="103" t="s">
        <v>297</v>
      </c>
      <c r="B6" s="103" t="s">
        <v>298</v>
      </c>
      <c r="C6" s="103" t="s">
        <v>275</v>
      </c>
      <c r="D6" s="103" t="s">
        <v>276</v>
      </c>
    </row>
    <row r="7" spans="1:4" x14ac:dyDescent="0.15">
      <c r="A7" s="103" t="s">
        <v>68</v>
      </c>
      <c r="B7" s="103" t="s">
        <v>299</v>
      </c>
      <c r="C7" s="103" t="s">
        <v>277</v>
      </c>
      <c r="D7" s="103" t="s">
        <v>278</v>
      </c>
    </row>
    <row r="8" spans="1:4" x14ac:dyDescent="0.15">
      <c r="A8" s="103" t="s">
        <v>91</v>
      </c>
      <c r="B8" s="103" t="s">
        <v>300</v>
      </c>
      <c r="C8" s="103" t="s">
        <v>279</v>
      </c>
      <c r="D8" s="103" t="s">
        <v>280</v>
      </c>
    </row>
    <row r="9" spans="1:4" x14ac:dyDescent="0.15">
      <c r="A9" s="103" t="s">
        <v>301</v>
      </c>
      <c r="B9" s="103" t="s">
        <v>302</v>
      </c>
      <c r="C9" s="103" t="s">
        <v>281</v>
      </c>
      <c r="D9" s="103" t="s">
        <v>282</v>
      </c>
    </row>
    <row r="10" spans="1:4" x14ac:dyDescent="0.15">
      <c r="A10" s="103" t="s">
        <v>219</v>
      </c>
      <c r="B10" s="103" t="s">
        <v>219</v>
      </c>
      <c r="C10" s="103" t="s">
        <v>219</v>
      </c>
      <c r="D10" s="103" t="s">
        <v>219</v>
      </c>
    </row>
    <row r="11" spans="1:4" x14ac:dyDescent="0.15">
      <c r="A11" s="103" t="s">
        <v>303</v>
      </c>
      <c r="B11" s="103" t="s">
        <v>304</v>
      </c>
      <c r="C11" s="103" t="s">
        <v>283</v>
      </c>
      <c r="D11" s="103" t="s">
        <v>284</v>
      </c>
    </row>
    <row r="12" spans="1:4" x14ac:dyDescent="0.15">
      <c r="A12" s="103" t="s">
        <v>305</v>
      </c>
      <c r="B12" s="103" t="s">
        <v>299</v>
      </c>
      <c r="C12" s="103" t="s">
        <v>285</v>
      </c>
      <c r="D12" s="103" t="s">
        <v>278</v>
      </c>
    </row>
    <row r="13" spans="1:4" x14ac:dyDescent="0.15">
      <c r="A13" s="103" t="s">
        <v>219</v>
      </c>
      <c r="B13" s="103" t="s">
        <v>219</v>
      </c>
      <c r="C13" s="103" t="s">
        <v>219</v>
      </c>
      <c r="D13" s="103" t="s">
        <v>219</v>
      </c>
    </row>
    <row r="14" spans="1:4" x14ac:dyDescent="0.15">
      <c r="A14" s="103" t="s">
        <v>306</v>
      </c>
      <c r="B14" s="103" t="s">
        <v>307</v>
      </c>
      <c r="C14" s="103" t="s">
        <v>286</v>
      </c>
      <c r="D14" s="103" t="s">
        <v>287</v>
      </c>
    </row>
    <row r="16" spans="1:4" x14ac:dyDescent="0.15">
      <c r="A16" t="s">
        <v>308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A4BD-4FF5-4CA6-9580-C622DFB3A388}">
  <dimension ref="B1:AM212"/>
  <sheetViews>
    <sheetView zoomScale="70" zoomScaleNormal="70" workbookViewId="0">
      <selection activeCell="E4" sqref="E4"/>
    </sheetView>
  </sheetViews>
  <sheetFormatPr defaultRowHeight="14.1" customHeight="1" x14ac:dyDescent="0.15"/>
  <cols>
    <col min="1" max="1" width="0.734375" customWidth="1"/>
    <col min="2" max="2" width="11.3984375" bestFit="1" customWidth="1"/>
    <col min="4" max="4" width="11.03125" bestFit="1" customWidth="1"/>
    <col min="5" max="5" width="9.8046875" bestFit="1" customWidth="1"/>
    <col min="18" max="18" width="8.94921875" customWidth="1"/>
    <col min="22" max="31" width="0" hidden="1" customWidth="1"/>
  </cols>
  <sheetData>
    <row r="1" spans="2:39" ht="4.5" customHeight="1" x14ac:dyDescent="0.15">
      <c r="V1" s="6" t="s">
        <v>23</v>
      </c>
    </row>
    <row r="2" spans="2:39" ht="14.1" customHeight="1" x14ac:dyDescent="0.15">
      <c r="B2" s="116" t="s">
        <v>211</v>
      </c>
      <c r="C2" s="117"/>
      <c r="D2" s="117"/>
    </row>
    <row r="3" spans="2:39" ht="14.1" customHeight="1" thickBot="1" x14ac:dyDescent="0.2">
      <c r="B3" t="s">
        <v>16</v>
      </c>
      <c r="C3" t="s">
        <v>15</v>
      </c>
      <c r="D3" t="s">
        <v>21</v>
      </c>
      <c r="V3" s="149" t="s">
        <v>24</v>
      </c>
      <c r="W3" s="149"/>
      <c r="X3" s="149"/>
      <c r="Y3" s="149"/>
      <c r="Z3" s="149"/>
      <c r="AA3" s="149"/>
      <c r="AB3" s="149"/>
      <c r="AC3" s="149"/>
      <c r="AD3" s="149"/>
      <c r="AE3" s="149"/>
    </row>
    <row r="4" spans="2:39" ht="14.1" customHeight="1" thickBot="1" x14ac:dyDescent="0.2">
      <c r="B4" t="s">
        <v>4</v>
      </c>
      <c r="C4" t="s">
        <v>269</v>
      </c>
      <c r="D4" s="9">
        <f>AVERAGE('Dados gerais'!N3:N7)</f>
        <v>92.982815533324057</v>
      </c>
      <c r="E4" s="99">
        <f>D4/100</f>
        <v>0.92982815533324059</v>
      </c>
      <c r="V4" s="147"/>
      <c r="W4" s="147"/>
      <c r="X4" s="147"/>
      <c r="Y4" s="147"/>
      <c r="Z4" s="147"/>
      <c r="AA4" s="148" t="s">
        <v>25</v>
      </c>
      <c r="AB4" s="148"/>
      <c r="AC4" s="19"/>
      <c r="AD4" s="147"/>
      <c r="AE4" s="147"/>
      <c r="AF4" s="133" t="s">
        <v>222</v>
      </c>
      <c r="AG4" s="133"/>
      <c r="AH4" s="133"/>
      <c r="AI4" s="133"/>
      <c r="AJ4" s="133"/>
      <c r="AK4" s="133"/>
      <c r="AL4" s="133"/>
      <c r="AM4" s="60"/>
    </row>
    <row r="5" spans="2:39" ht="14.1" customHeight="1" thickBot="1" x14ac:dyDescent="0.2">
      <c r="B5" t="s">
        <v>4</v>
      </c>
      <c r="C5" t="s">
        <v>5</v>
      </c>
      <c r="D5" s="9">
        <f>AVERAGE('Dados gerais'!N8:N12)</f>
        <v>41.022835413459646</v>
      </c>
      <c r="E5" s="99">
        <f t="shared" ref="E5:E15" si="0">D5/100</f>
        <v>0.41022835413459646</v>
      </c>
      <c r="V5" s="146"/>
      <c r="W5" s="146"/>
      <c r="X5" s="18"/>
      <c r="Y5" s="146" t="s">
        <v>26</v>
      </c>
      <c r="Z5" s="146"/>
      <c r="AA5" s="20" t="s">
        <v>27</v>
      </c>
      <c r="AB5" s="20" t="s">
        <v>28</v>
      </c>
      <c r="AC5" s="18" t="s">
        <v>29</v>
      </c>
      <c r="AD5" s="146" t="s">
        <v>30</v>
      </c>
      <c r="AE5" s="146"/>
      <c r="AF5" s="134" t="s">
        <v>223</v>
      </c>
      <c r="AG5" s="134" t="s">
        <v>256</v>
      </c>
      <c r="AH5" s="135"/>
      <c r="AI5" s="135"/>
      <c r="AJ5" s="135"/>
      <c r="AK5" s="135"/>
      <c r="AL5" s="135"/>
      <c r="AM5" s="60"/>
    </row>
    <row r="6" spans="2:39" ht="14.1" customHeight="1" x14ac:dyDescent="0.15">
      <c r="B6" t="s">
        <v>4</v>
      </c>
      <c r="C6" t="s">
        <v>6</v>
      </c>
      <c r="D6" s="9">
        <f>AVERAGE('Dados gerais'!N8:N14)</f>
        <v>69.3668627263731</v>
      </c>
      <c r="E6" s="99">
        <f t="shared" si="0"/>
        <v>0.69366862726373102</v>
      </c>
      <c r="V6" s="3" t="s">
        <v>31</v>
      </c>
      <c r="W6" s="3"/>
      <c r="X6" s="3" t="s">
        <v>32</v>
      </c>
      <c r="Y6" s="7">
        <v>4.2189999999999997E-12</v>
      </c>
      <c r="Z6" s="3"/>
      <c r="AA6" s="4">
        <v>-4592</v>
      </c>
      <c r="AB6" s="4">
        <v>4592</v>
      </c>
      <c r="AC6" s="7">
        <v>1.7759999999999999E-12</v>
      </c>
      <c r="AD6" s="4">
        <v>1000</v>
      </c>
      <c r="AE6" s="3"/>
      <c r="AF6" s="136" t="s">
        <v>0</v>
      </c>
      <c r="AG6" s="136"/>
      <c r="AH6" s="136"/>
      <c r="AI6" s="138" t="s">
        <v>224</v>
      </c>
      <c r="AJ6" s="140" t="s">
        <v>235</v>
      </c>
      <c r="AK6" s="140" t="s">
        <v>236</v>
      </c>
      <c r="AL6" s="142"/>
      <c r="AM6" s="60"/>
    </row>
    <row r="7" spans="2:39" ht="14.1" customHeight="1" x14ac:dyDescent="0.15">
      <c r="B7" t="s">
        <v>19</v>
      </c>
      <c r="C7" t="s">
        <v>268</v>
      </c>
      <c r="D7" s="9">
        <f>AVERAGE('Dados gerais'!N21:N25)</f>
        <v>143.70029550281907</v>
      </c>
      <c r="E7" s="99">
        <f t="shared" si="0"/>
        <v>1.4370029550281906</v>
      </c>
      <c r="V7" s="3"/>
      <c r="W7" s="3"/>
      <c r="X7" s="3" t="s">
        <v>39</v>
      </c>
      <c r="Y7" s="4">
        <v>2296</v>
      </c>
      <c r="Z7" s="3"/>
      <c r="AA7" s="4">
        <v>-2297</v>
      </c>
      <c r="AB7" s="4">
        <v>6888</v>
      </c>
      <c r="AC7" s="4">
        <v>1011</v>
      </c>
      <c r="AD7" s="4">
        <v>1000</v>
      </c>
      <c r="AE7" s="3"/>
      <c r="AF7" s="137"/>
      <c r="AG7" s="137"/>
      <c r="AH7" s="137"/>
      <c r="AI7" s="139"/>
      <c r="AJ7" s="141"/>
      <c r="AK7" s="62" t="s">
        <v>225</v>
      </c>
      <c r="AL7" s="63" t="s">
        <v>226</v>
      </c>
      <c r="AM7" s="60"/>
    </row>
    <row r="8" spans="2:39" ht="14.1" customHeight="1" x14ac:dyDescent="0.15">
      <c r="B8" t="s">
        <v>17</v>
      </c>
      <c r="C8" t="s">
        <v>5</v>
      </c>
      <c r="D8" s="9">
        <f>AVERAGE('Dados gerais'!N26:N32)</f>
        <v>191.56701218349917</v>
      </c>
      <c r="E8" s="99">
        <f t="shared" si="0"/>
        <v>1.9156701218349916</v>
      </c>
      <c r="V8" s="3"/>
      <c r="W8" s="3"/>
      <c r="X8" s="3" t="s">
        <v>40</v>
      </c>
      <c r="Y8" s="4">
        <v>7753</v>
      </c>
      <c r="Z8" s="3"/>
      <c r="AA8" s="4">
        <v>3232</v>
      </c>
      <c r="AB8" s="4">
        <v>12274</v>
      </c>
      <c r="AC8" s="4">
        <v>3415</v>
      </c>
      <c r="AD8" s="5" t="s">
        <v>41</v>
      </c>
      <c r="AE8" s="3" t="s">
        <v>42</v>
      </c>
      <c r="AF8" s="131" t="s">
        <v>4</v>
      </c>
      <c r="AG8" s="132" t="s">
        <v>5</v>
      </c>
      <c r="AH8" s="90" t="s">
        <v>6</v>
      </c>
      <c r="AI8" s="91">
        <v>8.6046129253142798</v>
      </c>
      <c r="AJ8" s="92">
        <v>8.8084938613957053E-2</v>
      </c>
      <c r="AK8" s="92">
        <v>-0.88728110085664369</v>
      </c>
      <c r="AL8" s="93">
        <v>18.096506951485203</v>
      </c>
      <c r="AM8" s="60"/>
    </row>
    <row r="9" spans="2:39" ht="14.1" customHeight="1" x14ac:dyDescent="0.15">
      <c r="B9" t="s">
        <v>17</v>
      </c>
      <c r="C9" t="s">
        <v>6</v>
      </c>
      <c r="D9" s="9">
        <f>AVERAGE('Dados gerais'!N33:N39)</f>
        <v>105.47428688956556</v>
      </c>
      <c r="E9" s="99">
        <f t="shared" si="0"/>
        <v>1.0547428688956557</v>
      </c>
      <c r="V9" s="3"/>
      <c r="W9" s="3"/>
      <c r="X9" s="3" t="s">
        <v>43</v>
      </c>
      <c r="Y9" s="4">
        <v>8738</v>
      </c>
      <c r="Z9" s="3"/>
      <c r="AA9" s="4">
        <v>4146</v>
      </c>
      <c r="AB9" s="4">
        <v>13331</v>
      </c>
      <c r="AC9" s="4">
        <v>3849</v>
      </c>
      <c r="AD9" s="5" t="s">
        <v>41</v>
      </c>
      <c r="AE9" s="3" t="s">
        <v>42</v>
      </c>
      <c r="AF9" s="127"/>
      <c r="AG9" s="130"/>
      <c r="AH9" s="81" t="s">
        <v>7</v>
      </c>
      <c r="AI9" s="82">
        <v>8.3423814485999959</v>
      </c>
      <c r="AJ9" s="83">
        <v>0.1219956188039118</v>
      </c>
      <c r="AK9" s="83">
        <v>-1.4735608136592813</v>
      </c>
      <c r="AL9" s="84">
        <v>18.158323710859271</v>
      </c>
      <c r="AM9" s="60"/>
    </row>
    <row r="10" spans="2:39" ht="14.1" customHeight="1" x14ac:dyDescent="0.15">
      <c r="B10" t="s">
        <v>17</v>
      </c>
      <c r="C10" t="s">
        <v>7</v>
      </c>
      <c r="D10" s="9">
        <f>AVERAGE('Dados gerais'!N40:N47)</f>
        <v>396.51325325410039</v>
      </c>
      <c r="E10" s="99">
        <f t="shared" si="0"/>
        <v>3.9651325325410038</v>
      </c>
      <c r="V10" s="3"/>
      <c r="W10" s="3"/>
      <c r="X10" s="3"/>
      <c r="Y10" s="4"/>
      <c r="Z10" s="3"/>
      <c r="AA10" s="4"/>
      <c r="AB10" s="4"/>
      <c r="AC10" s="4"/>
      <c r="AD10" s="5"/>
      <c r="AE10" s="3"/>
      <c r="AF10" s="127"/>
      <c r="AG10" s="130"/>
      <c r="AH10" s="81"/>
      <c r="AI10" s="82"/>
      <c r="AJ10" s="83"/>
      <c r="AK10" s="83"/>
      <c r="AL10" s="84"/>
      <c r="AM10" s="60"/>
    </row>
    <row r="11" spans="2:39" ht="13.9" customHeight="1" x14ac:dyDescent="0.15">
      <c r="B11" t="s">
        <v>17</v>
      </c>
      <c r="C11" t="s">
        <v>8</v>
      </c>
      <c r="D11" s="9">
        <f>AVERAGE('Dados gerais'!N47:N53)</f>
        <v>268.54824154310978</v>
      </c>
      <c r="E11" s="99">
        <f t="shared" si="0"/>
        <v>2.6854824154310979</v>
      </c>
      <c r="V11" s="3"/>
      <c r="W11" s="3"/>
      <c r="X11" s="3" t="s">
        <v>44</v>
      </c>
      <c r="Y11" s="4">
        <v>8893</v>
      </c>
      <c r="Z11" s="3"/>
      <c r="AA11" s="4">
        <v>4301</v>
      </c>
      <c r="AB11" s="4">
        <v>13486</v>
      </c>
      <c r="AC11" s="4">
        <v>3917</v>
      </c>
      <c r="AD11" s="5" t="s">
        <v>41</v>
      </c>
      <c r="AE11" s="3" t="s">
        <v>42</v>
      </c>
      <c r="AF11" s="127"/>
      <c r="AG11" s="130"/>
      <c r="AH11" s="81"/>
      <c r="AI11" s="85"/>
      <c r="AJ11" s="94"/>
      <c r="AK11" s="94"/>
      <c r="AL11" s="95"/>
      <c r="AM11" s="60"/>
    </row>
    <row r="12" spans="2:39" ht="14.1" customHeight="1" x14ac:dyDescent="0.15">
      <c r="B12" s="2" t="s">
        <v>20</v>
      </c>
      <c r="C12" t="s">
        <v>268</v>
      </c>
      <c r="D12" s="9">
        <f>AVERAGE('Dados gerais'!N54:N58)</f>
        <v>191.26106959010718</v>
      </c>
      <c r="E12" s="99">
        <f t="shared" si="0"/>
        <v>1.9126106959010718</v>
      </c>
      <c r="V12" s="3"/>
      <c r="W12" s="3"/>
      <c r="X12" s="3" t="s">
        <v>49</v>
      </c>
      <c r="Y12" s="4">
        <v>5635</v>
      </c>
      <c r="Z12" s="3"/>
      <c r="AA12" s="4">
        <v>1043</v>
      </c>
      <c r="AB12" s="4">
        <v>10228</v>
      </c>
      <c r="AC12" s="4">
        <v>2482</v>
      </c>
      <c r="AD12" s="5" t="s">
        <v>46</v>
      </c>
      <c r="AE12" s="3" t="s">
        <v>47</v>
      </c>
      <c r="AF12" s="127"/>
      <c r="AG12" s="129"/>
      <c r="AH12" s="86"/>
      <c r="AI12" s="87"/>
      <c r="AJ12" s="96"/>
      <c r="AK12" s="96"/>
      <c r="AL12" s="97"/>
      <c r="AM12" s="60"/>
    </row>
    <row r="13" spans="2:39" ht="14.1" customHeight="1" x14ac:dyDescent="0.15">
      <c r="B13" s="2" t="s">
        <v>18</v>
      </c>
      <c r="C13" t="s">
        <v>5</v>
      </c>
      <c r="D13" s="9">
        <f>AVERAGE('Dados gerais'!N59:N64)</f>
        <v>495.95865968109598</v>
      </c>
      <c r="E13" s="99">
        <f t="shared" si="0"/>
        <v>4.9595865968109596</v>
      </c>
      <c r="V13" s="3"/>
      <c r="W13" s="3"/>
      <c r="X13" s="3" t="s">
        <v>50</v>
      </c>
      <c r="Y13" s="4">
        <v>4470</v>
      </c>
      <c r="Z13" s="3"/>
      <c r="AA13" s="5" t="s">
        <v>51</v>
      </c>
      <c r="AB13" s="4">
        <v>8991</v>
      </c>
      <c r="AC13" s="4">
        <v>1969</v>
      </c>
      <c r="AD13" s="5" t="s">
        <v>52</v>
      </c>
      <c r="AE13" s="3"/>
      <c r="AF13" s="127"/>
      <c r="AG13" s="126" t="s">
        <v>6</v>
      </c>
      <c r="AH13" s="64" t="s">
        <v>5</v>
      </c>
      <c r="AI13" s="65">
        <v>-8.6046129253142798</v>
      </c>
      <c r="AJ13" s="66">
        <v>8.8084938613957053E-2</v>
      </c>
      <c r="AK13" s="66">
        <v>-18.096506951485203</v>
      </c>
      <c r="AL13" s="67">
        <v>0.88728110085664369</v>
      </c>
      <c r="AM13" s="60"/>
    </row>
    <row r="14" spans="2:39" ht="14.1" customHeight="1" x14ac:dyDescent="0.15">
      <c r="B14" s="2" t="s">
        <v>18</v>
      </c>
      <c r="C14" t="s">
        <v>6</v>
      </c>
      <c r="D14" s="9">
        <f>AVERAGE('Dados gerais'!N66:N72)</f>
        <v>263.67340227880703</v>
      </c>
      <c r="E14" s="99">
        <f t="shared" si="0"/>
        <v>2.6367340227880702</v>
      </c>
      <c r="V14" s="3"/>
      <c r="W14" s="3"/>
      <c r="X14" s="3" t="s">
        <v>53</v>
      </c>
      <c r="Y14" s="4">
        <v>6292</v>
      </c>
      <c r="Z14" s="3"/>
      <c r="AA14" s="4">
        <v>1700</v>
      </c>
      <c r="AB14" s="4">
        <v>10885</v>
      </c>
      <c r="AC14" s="4">
        <v>2771</v>
      </c>
      <c r="AD14" s="5" t="s">
        <v>41</v>
      </c>
      <c r="AE14" s="3" t="s">
        <v>42</v>
      </c>
      <c r="AF14" s="127"/>
      <c r="AG14" s="127"/>
      <c r="AH14" s="64" t="s">
        <v>7</v>
      </c>
      <c r="AI14" s="65">
        <v>-0.26223147671428393</v>
      </c>
      <c r="AJ14" s="66">
        <v>1</v>
      </c>
      <c r="AK14" s="66">
        <v>-9.280918398618784</v>
      </c>
      <c r="AL14" s="67">
        <v>8.7564554451902161</v>
      </c>
      <c r="AM14" s="60"/>
    </row>
    <row r="15" spans="2:39" ht="14.1" customHeight="1" x14ac:dyDescent="0.15">
      <c r="B15" s="2" t="s">
        <v>18</v>
      </c>
      <c r="C15" t="s">
        <v>7</v>
      </c>
      <c r="D15" s="9">
        <f>AVERAGE('Dados gerais'!N73:N79)</f>
        <v>556.34316382046904</v>
      </c>
      <c r="E15" s="99">
        <f t="shared" si="0"/>
        <v>5.5634316382046904</v>
      </c>
      <c r="V15" s="3"/>
      <c r="W15" s="3"/>
      <c r="X15" s="3" t="s">
        <v>54</v>
      </c>
      <c r="Y15" s="4">
        <v>6154</v>
      </c>
      <c r="Z15" s="3"/>
      <c r="AA15" s="4">
        <v>1562</v>
      </c>
      <c r="AB15" s="4">
        <v>10747</v>
      </c>
      <c r="AC15" s="4">
        <v>2711</v>
      </c>
      <c r="AD15" s="5" t="s">
        <v>41</v>
      </c>
      <c r="AE15" s="3" t="s">
        <v>42</v>
      </c>
      <c r="AF15" s="127"/>
      <c r="AG15" s="127"/>
      <c r="AH15" s="64" t="s">
        <v>8</v>
      </c>
      <c r="AI15" s="68" t="s">
        <v>237</v>
      </c>
      <c r="AJ15" s="69"/>
      <c r="AK15" s="69"/>
      <c r="AL15" s="70"/>
      <c r="AM15" s="60"/>
    </row>
    <row r="16" spans="2:39" ht="14.1" customHeight="1" x14ac:dyDescent="0.15">
      <c r="V16" s="3"/>
      <c r="W16" s="3"/>
      <c r="X16" s="3" t="s">
        <v>57</v>
      </c>
      <c r="Y16" s="4">
        <v>6653</v>
      </c>
      <c r="Z16" s="3"/>
      <c r="AA16" s="4">
        <v>2060</v>
      </c>
      <c r="AB16" s="4">
        <v>11245</v>
      </c>
      <c r="AC16" s="4">
        <v>2930</v>
      </c>
      <c r="AD16" s="5" t="s">
        <v>41</v>
      </c>
      <c r="AE16" s="3" t="s">
        <v>42</v>
      </c>
      <c r="AF16" s="127"/>
      <c r="AG16" s="126"/>
      <c r="AH16" s="71" t="s">
        <v>227</v>
      </c>
      <c r="AI16" s="72" t="s">
        <v>237</v>
      </c>
      <c r="AJ16" s="73"/>
      <c r="AK16" s="73"/>
      <c r="AL16" s="74"/>
      <c r="AM16" s="60"/>
    </row>
    <row r="17" spans="6:39" ht="14.1" customHeight="1" x14ac:dyDescent="0.15">
      <c r="V17" s="3"/>
      <c r="W17" s="3"/>
      <c r="X17" s="3" t="s">
        <v>58</v>
      </c>
      <c r="Y17" s="4">
        <v>7333</v>
      </c>
      <c r="Z17" s="3"/>
      <c r="AA17" s="4">
        <v>2812</v>
      </c>
      <c r="AB17" s="4">
        <v>11854</v>
      </c>
      <c r="AC17" s="4">
        <v>3230</v>
      </c>
      <c r="AD17" s="5" t="s">
        <v>41</v>
      </c>
      <c r="AE17" s="3" t="s">
        <v>42</v>
      </c>
      <c r="AF17" s="127"/>
      <c r="AG17" s="126" t="s">
        <v>7</v>
      </c>
      <c r="AH17" s="64" t="s">
        <v>5</v>
      </c>
      <c r="AI17" s="65">
        <v>-8.3423814485999959</v>
      </c>
      <c r="AJ17" s="66">
        <v>0.1219956188039118</v>
      </c>
      <c r="AK17" s="66">
        <v>-18.158323710859271</v>
      </c>
      <c r="AL17" s="67">
        <v>1.4735608136592813</v>
      </c>
      <c r="AM17" s="60"/>
    </row>
    <row r="18" spans="6:39" ht="14.1" customHeight="1" x14ac:dyDescent="0.15">
      <c r="V18" s="3"/>
      <c r="W18" s="3"/>
      <c r="X18" s="3" t="s">
        <v>59</v>
      </c>
      <c r="Y18" s="4">
        <v>7669</v>
      </c>
      <c r="Z18" s="3"/>
      <c r="AA18" s="4">
        <v>3076</v>
      </c>
      <c r="AB18" s="4">
        <v>12261</v>
      </c>
      <c r="AC18" s="4">
        <v>3378</v>
      </c>
      <c r="AD18" s="5" t="s">
        <v>41</v>
      </c>
      <c r="AE18" s="3" t="s">
        <v>42</v>
      </c>
      <c r="AF18" s="127"/>
      <c r="AG18" s="127"/>
      <c r="AH18" s="64" t="s">
        <v>6</v>
      </c>
      <c r="AI18" s="65">
        <v>0.26223147671428393</v>
      </c>
      <c r="AJ18" s="66">
        <v>1</v>
      </c>
      <c r="AK18" s="66">
        <v>-8.7564554451902161</v>
      </c>
      <c r="AL18" s="67">
        <v>9.280918398618784</v>
      </c>
      <c r="AM18" s="60"/>
    </row>
    <row r="19" spans="6:39" ht="14.1" customHeight="1" x14ac:dyDescent="0.15">
      <c r="V19" s="3"/>
      <c r="W19" s="3"/>
      <c r="X19" s="3" t="s">
        <v>60</v>
      </c>
      <c r="Y19" s="4">
        <v>9856</v>
      </c>
      <c r="Z19" s="3"/>
      <c r="AA19" s="4">
        <v>5264</v>
      </c>
      <c r="AB19" s="4">
        <v>14449</v>
      </c>
      <c r="AC19" s="4">
        <v>4341</v>
      </c>
      <c r="AD19" s="5" t="s">
        <v>41</v>
      </c>
      <c r="AE19" s="3" t="s">
        <v>42</v>
      </c>
      <c r="AF19" s="127"/>
      <c r="AG19" s="127"/>
      <c r="AH19" s="64"/>
      <c r="AI19" s="68"/>
      <c r="AJ19" s="69"/>
      <c r="AK19" s="69"/>
      <c r="AL19" s="70"/>
      <c r="AM19" s="60"/>
    </row>
    <row r="20" spans="6:39" ht="14.1" customHeight="1" x14ac:dyDescent="0.15">
      <c r="V20" s="3" t="s">
        <v>32</v>
      </c>
      <c r="W20" s="3"/>
      <c r="X20" s="3" t="s">
        <v>33</v>
      </c>
      <c r="Y20" s="7">
        <v>3.5529999999999999E-12</v>
      </c>
      <c r="Z20" s="3"/>
      <c r="AA20" s="4">
        <v>-4592</v>
      </c>
      <c r="AB20" s="4">
        <v>4592</v>
      </c>
      <c r="AC20" s="7">
        <v>2.6650000000000001E-12</v>
      </c>
      <c r="AD20" s="4">
        <v>1000</v>
      </c>
      <c r="AE20" s="3"/>
      <c r="AF20" s="127"/>
      <c r="AG20" s="126"/>
      <c r="AH20" s="71"/>
      <c r="AI20" s="72"/>
      <c r="AJ20" s="73"/>
      <c r="AK20" s="73"/>
      <c r="AL20" s="74"/>
      <c r="AM20" s="60"/>
    </row>
    <row r="21" spans="6:39" ht="14.1" customHeight="1" x14ac:dyDescent="0.15">
      <c r="V21" s="3"/>
      <c r="W21" s="3"/>
      <c r="X21" s="3" t="s">
        <v>34</v>
      </c>
      <c r="Y21" s="4">
        <v>4271</v>
      </c>
      <c r="Z21" s="3"/>
      <c r="AA21" s="5" t="s">
        <v>62</v>
      </c>
      <c r="AB21" s="4">
        <v>8864</v>
      </c>
      <c r="AC21" s="4">
        <v>1881</v>
      </c>
      <c r="AD21" s="5" t="s">
        <v>63</v>
      </c>
      <c r="AE21" s="3"/>
      <c r="AF21" s="127"/>
      <c r="AG21" s="126" t="s">
        <v>8</v>
      </c>
      <c r="AH21" s="64"/>
      <c r="AI21" s="68"/>
      <c r="AJ21" s="69"/>
      <c r="AK21" s="69"/>
      <c r="AL21" s="70"/>
      <c r="AM21" s="60"/>
    </row>
    <row r="22" spans="6:39" ht="14.1" customHeight="1" x14ac:dyDescent="0.15">
      <c r="V22" s="3"/>
      <c r="W22" s="3"/>
      <c r="X22" s="3" t="s">
        <v>37</v>
      </c>
      <c r="Y22" s="4">
        <v>3490</v>
      </c>
      <c r="Z22" s="3"/>
      <c r="AA22" s="4">
        <v>-1032</v>
      </c>
      <c r="AB22" s="4">
        <v>8011</v>
      </c>
      <c r="AC22" s="4">
        <v>1537</v>
      </c>
      <c r="AD22" s="5" t="s">
        <v>64</v>
      </c>
      <c r="AE22" s="3"/>
      <c r="AF22" s="127"/>
      <c r="AG22" s="127"/>
      <c r="AH22" s="64"/>
      <c r="AI22" s="68"/>
      <c r="AJ22" s="69"/>
      <c r="AK22" s="69"/>
      <c r="AL22" s="70"/>
      <c r="AM22" s="60"/>
    </row>
    <row r="23" spans="6:39" ht="14.1" customHeight="1" x14ac:dyDescent="0.15">
      <c r="V23" s="3"/>
      <c r="W23" s="3"/>
      <c r="X23" s="3" t="s">
        <v>39</v>
      </c>
      <c r="Y23" s="4">
        <v>2296</v>
      </c>
      <c r="Z23" s="3"/>
      <c r="AA23" s="4">
        <v>-2297</v>
      </c>
      <c r="AB23" s="4">
        <v>6888</v>
      </c>
      <c r="AC23" s="4">
        <v>1011</v>
      </c>
      <c r="AD23" s="4">
        <v>1000</v>
      </c>
      <c r="AE23" s="3"/>
      <c r="AF23" s="127"/>
      <c r="AG23" s="127"/>
      <c r="AH23" s="64"/>
      <c r="AI23" s="68"/>
      <c r="AJ23" s="69"/>
      <c r="AK23" s="69"/>
      <c r="AL23" s="70"/>
      <c r="AM23" s="60"/>
    </row>
    <row r="24" spans="6:39" ht="14.1" customHeight="1" x14ac:dyDescent="0.15">
      <c r="F24" s="21"/>
      <c r="V24" s="3"/>
      <c r="W24" s="3"/>
      <c r="X24" s="3" t="s">
        <v>40</v>
      </c>
      <c r="Y24" s="4">
        <v>7753</v>
      </c>
      <c r="Z24" s="3"/>
      <c r="AA24" s="4">
        <v>3161</v>
      </c>
      <c r="AB24" s="4">
        <v>12346</v>
      </c>
      <c r="AC24" s="4">
        <v>3415</v>
      </c>
      <c r="AD24" s="5" t="s">
        <v>41</v>
      </c>
      <c r="AE24" s="3" t="s">
        <v>42</v>
      </c>
      <c r="AF24" s="127"/>
      <c r="AG24" s="126"/>
      <c r="AH24" s="71"/>
      <c r="AI24" s="72"/>
      <c r="AJ24" s="73"/>
      <c r="AK24" s="73"/>
      <c r="AL24" s="74"/>
      <c r="AM24" s="60"/>
    </row>
    <row r="25" spans="6:39" ht="14.1" customHeight="1" x14ac:dyDescent="0.15">
      <c r="V25" s="3"/>
      <c r="W25" s="3"/>
      <c r="X25" s="3" t="s">
        <v>43</v>
      </c>
      <c r="Y25" s="4">
        <v>8738</v>
      </c>
      <c r="Z25" s="3"/>
      <c r="AA25" s="4">
        <v>4217</v>
      </c>
      <c r="AB25" s="4">
        <v>13259</v>
      </c>
      <c r="AC25" s="4">
        <v>3849</v>
      </c>
      <c r="AD25" s="5" t="s">
        <v>41</v>
      </c>
      <c r="AE25" s="3" t="s">
        <v>42</v>
      </c>
      <c r="AF25" s="127"/>
      <c r="AG25" s="126" t="s">
        <v>227</v>
      </c>
      <c r="AH25" s="64"/>
      <c r="AI25" s="68"/>
      <c r="AJ25" s="69"/>
      <c r="AK25" s="69"/>
      <c r="AL25" s="70"/>
      <c r="AM25" s="60"/>
    </row>
    <row r="26" spans="6:39" ht="14.1" customHeight="1" x14ac:dyDescent="0.15">
      <c r="V26" s="3"/>
      <c r="W26" s="3"/>
      <c r="X26" s="3" t="s">
        <v>44</v>
      </c>
      <c r="Y26" s="4">
        <v>8893</v>
      </c>
      <c r="Z26" s="3"/>
      <c r="AA26" s="4">
        <v>4301</v>
      </c>
      <c r="AB26" s="4">
        <v>13486</v>
      </c>
      <c r="AC26" s="4">
        <v>3917</v>
      </c>
      <c r="AD26" s="5" t="s">
        <v>41</v>
      </c>
      <c r="AE26" s="3" t="s">
        <v>42</v>
      </c>
      <c r="AF26" s="127"/>
      <c r="AG26" s="127"/>
      <c r="AH26" s="64"/>
      <c r="AI26" s="68"/>
      <c r="AJ26" s="69"/>
      <c r="AK26" s="69"/>
      <c r="AL26" s="70"/>
      <c r="AM26" s="60"/>
    </row>
    <row r="27" spans="6:39" ht="14.1" customHeight="1" x14ac:dyDescent="0.15">
      <c r="V27" s="3"/>
      <c r="W27" s="3"/>
      <c r="X27" s="3" t="s">
        <v>45</v>
      </c>
      <c r="Y27" s="4">
        <v>5577</v>
      </c>
      <c r="Z27" s="3"/>
      <c r="AA27" s="5" t="s">
        <v>65</v>
      </c>
      <c r="AB27" s="4">
        <v>10169</v>
      </c>
      <c r="AC27" s="4">
        <v>2456</v>
      </c>
      <c r="AD27" s="5" t="s">
        <v>46</v>
      </c>
      <c r="AE27" s="3" t="s">
        <v>47</v>
      </c>
      <c r="AF27" s="127"/>
      <c r="AG27" s="127"/>
      <c r="AH27" s="64"/>
      <c r="AI27" s="68"/>
      <c r="AJ27" s="69"/>
      <c r="AK27" s="69"/>
      <c r="AL27" s="70"/>
      <c r="AM27" s="60"/>
    </row>
    <row r="28" spans="6:39" ht="14.1" customHeight="1" x14ac:dyDescent="0.15">
      <c r="V28" s="3"/>
      <c r="W28" s="3"/>
      <c r="X28" s="3" t="s">
        <v>48</v>
      </c>
      <c r="Y28" s="4">
        <v>6539</v>
      </c>
      <c r="Z28" s="3"/>
      <c r="AA28" s="4">
        <v>2017</v>
      </c>
      <c r="AB28" s="4">
        <v>11060</v>
      </c>
      <c r="AC28" s="4">
        <v>2880</v>
      </c>
      <c r="AD28" s="5" t="s">
        <v>41</v>
      </c>
      <c r="AE28" s="3" t="s">
        <v>42</v>
      </c>
      <c r="AF28" s="126"/>
      <c r="AG28" s="126"/>
      <c r="AH28" s="71"/>
      <c r="AI28" s="72"/>
      <c r="AJ28" s="73"/>
      <c r="AK28" s="73"/>
      <c r="AL28" s="74"/>
      <c r="AM28" s="60"/>
    </row>
    <row r="29" spans="6:39" ht="14.1" customHeight="1" x14ac:dyDescent="0.15">
      <c r="V29" s="3"/>
      <c r="W29" s="3"/>
      <c r="X29" s="3" t="s">
        <v>49</v>
      </c>
      <c r="Y29" s="4">
        <v>5635</v>
      </c>
      <c r="Z29" s="3"/>
      <c r="AA29" s="4">
        <v>1043</v>
      </c>
      <c r="AB29" s="4">
        <v>10228</v>
      </c>
      <c r="AC29" s="4">
        <v>2482</v>
      </c>
      <c r="AD29" s="5" t="s">
        <v>46</v>
      </c>
      <c r="AE29" s="3" t="s">
        <v>47</v>
      </c>
      <c r="AF29" s="126" t="s">
        <v>228</v>
      </c>
      <c r="AG29" s="129" t="s">
        <v>5</v>
      </c>
      <c r="AH29" s="81" t="s">
        <v>6</v>
      </c>
      <c r="AI29" s="82">
        <v>10.107551269542851</v>
      </c>
      <c r="AJ29" s="83">
        <v>0.11023677935925714</v>
      </c>
      <c r="AK29" s="83">
        <v>-1.1166277994949692</v>
      </c>
      <c r="AL29" s="84">
        <v>21.33173033858067</v>
      </c>
      <c r="AM29" s="60"/>
    </row>
    <row r="30" spans="6:39" ht="14.1" customHeight="1" x14ac:dyDescent="0.15">
      <c r="P30" s="21"/>
      <c r="U30" s="3"/>
      <c r="V30" s="3"/>
      <c r="W30" s="3" t="s">
        <v>50</v>
      </c>
      <c r="X30" s="4">
        <v>4470</v>
      </c>
      <c r="Y30" s="3"/>
      <c r="Z30" s="5" t="s">
        <v>66</v>
      </c>
      <c r="AA30" s="4">
        <v>9062</v>
      </c>
      <c r="AB30" s="4">
        <v>1969</v>
      </c>
      <c r="AC30" s="5" t="s">
        <v>67</v>
      </c>
      <c r="AD30" s="3"/>
      <c r="AF30" s="127"/>
      <c r="AG30" s="130"/>
      <c r="AH30" s="81" t="s">
        <v>7</v>
      </c>
      <c r="AI30" s="85" t="s">
        <v>257</v>
      </c>
      <c r="AJ30" s="83">
        <v>9.9744516741447423E-3</v>
      </c>
      <c r="AK30" s="83">
        <v>2.0911076115050289</v>
      </c>
      <c r="AL30" s="84">
        <v>24.539465749580671</v>
      </c>
      <c r="AM30" s="60"/>
    </row>
    <row r="31" spans="6:39" ht="14.1" customHeight="1" x14ac:dyDescent="0.15">
      <c r="U31" s="3"/>
      <c r="V31" s="3"/>
      <c r="W31" s="3" t="s">
        <v>53</v>
      </c>
      <c r="X31" s="4">
        <v>6292</v>
      </c>
      <c r="Y31" s="3"/>
      <c r="Z31" s="4">
        <v>1771</v>
      </c>
      <c r="AA31" s="4">
        <v>10813</v>
      </c>
      <c r="AB31" s="4">
        <v>2771</v>
      </c>
      <c r="AC31" s="5" t="s">
        <v>41</v>
      </c>
      <c r="AD31" s="3" t="s">
        <v>42</v>
      </c>
      <c r="AF31" s="127"/>
      <c r="AG31" s="130"/>
      <c r="AH31" s="81" t="s">
        <v>8</v>
      </c>
      <c r="AI31" s="82">
        <v>10.235950276542887</v>
      </c>
      <c r="AJ31" s="83">
        <v>0.1009237963450369</v>
      </c>
      <c r="AK31" s="83">
        <v>-0.98822879249494022</v>
      </c>
      <c r="AL31" s="84">
        <v>21.460129345580714</v>
      </c>
      <c r="AM31" s="60"/>
    </row>
    <row r="32" spans="6:39" ht="14.1" customHeight="1" x14ac:dyDescent="0.15">
      <c r="U32" s="3"/>
      <c r="V32" s="3"/>
      <c r="W32" s="3" t="s">
        <v>54</v>
      </c>
      <c r="X32" s="4">
        <v>6154</v>
      </c>
      <c r="Y32" s="3"/>
      <c r="Z32" s="4">
        <v>1562</v>
      </c>
      <c r="AA32" s="4">
        <v>10747</v>
      </c>
      <c r="AB32" s="4">
        <v>2711</v>
      </c>
      <c r="AC32" s="5" t="s">
        <v>41</v>
      </c>
      <c r="AD32" s="3" t="s">
        <v>42</v>
      </c>
      <c r="AF32" s="127"/>
      <c r="AG32" s="129"/>
      <c r="AH32" s="86" t="s">
        <v>227</v>
      </c>
      <c r="AI32" s="87" t="s">
        <v>258</v>
      </c>
      <c r="AJ32" s="88">
        <v>3.5564552241242157E-2</v>
      </c>
      <c r="AK32" s="88">
        <v>0.46036806479071402</v>
      </c>
      <c r="AL32" s="89">
        <v>22.908726202866369</v>
      </c>
      <c r="AM32" s="60"/>
    </row>
    <row r="33" spans="21:39" ht="14.1" customHeight="1" x14ac:dyDescent="0.15">
      <c r="U33" s="3"/>
      <c r="V33" s="3"/>
      <c r="W33" s="3" t="s">
        <v>55</v>
      </c>
      <c r="X33" s="4">
        <v>4470</v>
      </c>
      <c r="Y33" s="3"/>
      <c r="Z33" s="5" t="s">
        <v>66</v>
      </c>
      <c r="AA33" s="4">
        <v>9062</v>
      </c>
      <c r="AB33" s="4">
        <v>1969</v>
      </c>
      <c r="AC33" s="5" t="s">
        <v>67</v>
      </c>
      <c r="AD33" s="3"/>
      <c r="AF33" s="127"/>
      <c r="AG33" s="126" t="s">
        <v>6</v>
      </c>
      <c r="AH33" s="64" t="s">
        <v>5</v>
      </c>
      <c r="AI33" s="65">
        <v>-10.107551269542851</v>
      </c>
      <c r="AJ33" s="66">
        <v>0.11023677935925714</v>
      </c>
      <c r="AK33" s="66">
        <v>-21.33173033858067</v>
      </c>
      <c r="AL33" s="67">
        <v>1.1166277994949692</v>
      </c>
      <c r="AM33" s="60"/>
    </row>
    <row r="34" spans="21:39" ht="14.1" customHeight="1" x14ac:dyDescent="0.15">
      <c r="U34" s="3"/>
      <c r="V34" s="3"/>
      <c r="W34" s="3" t="s">
        <v>56</v>
      </c>
      <c r="X34" s="4">
        <v>7763</v>
      </c>
      <c r="Y34" s="3"/>
      <c r="Z34" s="4">
        <v>3241</v>
      </c>
      <c r="AA34" s="4">
        <v>12284</v>
      </c>
      <c r="AB34" s="4">
        <v>3419</v>
      </c>
      <c r="AC34" s="5" t="s">
        <v>41</v>
      </c>
      <c r="AD34" s="3" t="s">
        <v>42</v>
      </c>
      <c r="AF34" s="127"/>
      <c r="AG34" s="127"/>
      <c r="AH34" s="64" t="s">
        <v>7</v>
      </c>
      <c r="AI34" s="65">
        <v>3.207735410999998</v>
      </c>
      <c r="AJ34" s="66">
        <v>1</v>
      </c>
      <c r="AK34" s="66">
        <v>-7.0384913649822618</v>
      </c>
      <c r="AL34" s="67">
        <v>13.453962186982258</v>
      </c>
      <c r="AM34" s="60"/>
    </row>
    <row r="35" spans="21:39" ht="14.1" customHeight="1" x14ac:dyDescent="0.15">
      <c r="U35" s="3"/>
      <c r="V35" s="3"/>
      <c r="W35" s="3" t="s">
        <v>57</v>
      </c>
      <c r="X35" s="4">
        <v>6653</v>
      </c>
      <c r="Y35" s="3"/>
      <c r="Z35" s="4">
        <v>2060</v>
      </c>
      <c r="AA35" s="4">
        <v>11245</v>
      </c>
      <c r="AB35" s="4">
        <v>2930</v>
      </c>
      <c r="AC35" s="5" t="s">
        <v>41</v>
      </c>
      <c r="AD35" s="3" t="s">
        <v>42</v>
      </c>
      <c r="AF35" s="127"/>
      <c r="AG35" s="127"/>
      <c r="AH35" s="64" t="s">
        <v>8</v>
      </c>
      <c r="AI35" s="65">
        <v>0.12839900700003626</v>
      </c>
      <c r="AJ35" s="66">
        <v>1</v>
      </c>
      <c r="AK35" s="66">
        <v>-10.11782776898222</v>
      </c>
      <c r="AL35" s="67">
        <v>10.374625782982292</v>
      </c>
      <c r="AM35" s="60"/>
    </row>
    <row r="36" spans="21:39" ht="14.1" customHeight="1" x14ac:dyDescent="0.15">
      <c r="U36" s="3"/>
      <c r="V36" s="3"/>
      <c r="W36" s="3" t="s">
        <v>58</v>
      </c>
      <c r="X36" s="4">
        <v>7333</v>
      </c>
      <c r="Y36" s="3"/>
      <c r="Z36" s="4">
        <v>2741</v>
      </c>
      <c r="AA36" s="4">
        <v>11926</v>
      </c>
      <c r="AB36" s="4">
        <v>3230</v>
      </c>
      <c r="AC36" s="5" t="s">
        <v>41</v>
      </c>
      <c r="AD36" s="3" t="s">
        <v>42</v>
      </c>
      <c r="AF36" s="127"/>
      <c r="AG36" s="126"/>
      <c r="AH36" s="71" t="s">
        <v>227</v>
      </c>
      <c r="AI36" s="77">
        <v>1.5769958642856903</v>
      </c>
      <c r="AJ36" s="75">
        <v>1</v>
      </c>
      <c r="AK36" s="75">
        <v>-8.6692309116965607</v>
      </c>
      <c r="AL36" s="76">
        <v>11.823222640267941</v>
      </c>
      <c r="AM36" s="60"/>
    </row>
    <row r="37" spans="21:39" ht="14.1" customHeight="1" x14ac:dyDescent="0.15">
      <c r="U37" s="3"/>
      <c r="V37" s="3"/>
      <c r="W37" s="3" t="s">
        <v>59</v>
      </c>
      <c r="X37" s="4">
        <v>7669</v>
      </c>
      <c r="Y37" s="3"/>
      <c r="Z37" s="4">
        <v>3148</v>
      </c>
      <c r="AA37" s="4">
        <v>12190</v>
      </c>
      <c r="AB37" s="4">
        <v>3378</v>
      </c>
      <c r="AC37" s="5" t="s">
        <v>41</v>
      </c>
      <c r="AD37" s="3" t="s">
        <v>42</v>
      </c>
      <c r="AF37" s="127"/>
      <c r="AG37" s="126" t="s">
        <v>7</v>
      </c>
      <c r="AH37" s="64" t="s">
        <v>5</v>
      </c>
      <c r="AI37" s="68" t="s">
        <v>259</v>
      </c>
      <c r="AJ37" s="66">
        <v>9.9744516741447423E-3</v>
      </c>
      <c r="AK37" s="66">
        <v>-24.539465749580671</v>
      </c>
      <c r="AL37" s="67">
        <v>-2.0911076115050289</v>
      </c>
      <c r="AM37" s="60"/>
    </row>
    <row r="38" spans="21:39" ht="14.1" customHeight="1" x14ac:dyDescent="0.15">
      <c r="U38" s="3"/>
      <c r="V38" s="3"/>
      <c r="W38" s="3" t="s">
        <v>60</v>
      </c>
      <c r="X38" s="4">
        <v>9856</v>
      </c>
      <c r="Y38" s="3"/>
      <c r="Z38" s="4">
        <v>5264</v>
      </c>
      <c r="AA38" s="4">
        <v>14449</v>
      </c>
      <c r="AB38" s="4">
        <v>4341</v>
      </c>
      <c r="AC38" s="5" t="s">
        <v>41</v>
      </c>
      <c r="AD38" s="3" t="s">
        <v>42</v>
      </c>
      <c r="AF38" s="127"/>
      <c r="AG38" s="127"/>
      <c r="AH38" s="64" t="s">
        <v>6</v>
      </c>
      <c r="AI38" s="65">
        <v>-3.207735410999998</v>
      </c>
      <c r="AJ38" s="66">
        <v>1</v>
      </c>
      <c r="AK38" s="66">
        <v>-13.453962186982258</v>
      </c>
      <c r="AL38" s="67">
        <v>7.0384913649822618</v>
      </c>
      <c r="AM38" s="60"/>
    </row>
    <row r="39" spans="21:39" ht="14.1" customHeight="1" x14ac:dyDescent="0.15">
      <c r="U39" s="3" t="s">
        <v>33</v>
      </c>
      <c r="V39" s="3"/>
      <c r="W39" s="3" t="s">
        <v>34</v>
      </c>
      <c r="X39" s="4">
        <v>4271</v>
      </c>
      <c r="Y39" s="3"/>
      <c r="Z39" s="5" t="s">
        <v>62</v>
      </c>
      <c r="AA39" s="4">
        <v>8864</v>
      </c>
      <c r="AB39" s="4">
        <v>1881</v>
      </c>
      <c r="AC39" s="5" t="s">
        <v>63</v>
      </c>
      <c r="AD39" s="3"/>
      <c r="AF39" s="127"/>
      <c r="AG39" s="127"/>
      <c r="AH39" s="64" t="s">
        <v>8</v>
      </c>
      <c r="AI39" s="65">
        <v>-3.079336403999962</v>
      </c>
      <c r="AJ39" s="66">
        <v>1</v>
      </c>
      <c r="AK39" s="66">
        <v>-13.325563179982222</v>
      </c>
      <c r="AL39" s="67">
        <v>7.1668903719822978</v>
      </c>
      <c r="AM39" s="60"/>
    </row>
    <row r="40" spans="21:39" ht="14.1" customHeight="1" x14ac:dyDescent="0.15">
      <c r="U40" s="3"/>
      <c r="V40" s="3"/>
      <c r="W40" s="3" t="s">
        <v>37</v>
      </c>
      <c r="X40" s="4">
        <v>3490</v>
      </c>
      <c r="Y40" s="3"/>
      <c r="Z40" s="4">
        <v>-1103</v>
      </c>
      <c r="AA40" s="4">
        <v>8082</v>
      </c>
      <c r="AB40" s="4">
        <v>1537</v>
      </c>
      <c r="AC40" s="5" t="s">
        <v>38</v>
      </c>
      <c r="AD40" s="3"/>
      <c r="AF40" s="127"/>
      <c r="AG40" s="126"/>
      <c r="AH40" s="71" t="s">
        <v>227</v>
      </c>
      <c r="AI40" s="77">
        <v>-1.6307395467143078</v>
      </c>
      <c r="AJ40" s="75">
        <v>1</v>
      </c>
      <c r="AK40" s="75">
        <v>-11.876966322696564</v>
      </c>
      <c r="AL40" s="76">
        <v>8.6154872292679485</v>
      </c>
      <c r="AM40" s="60"/>
    </row>
    <row r="41" spans="21:39" ht="14.1" customHeight="1" x14ac:dyDescent="0.15">
      <c r="U41" s="3"/>
      <c r="V41" s="3"/>
      <c r="W41" s="3" t="s">
        <v>39</v>
      </c>
      <c r="X41" s="4">
        <v>2296</v>
      </c>
      <c r="Y41" s="3"/>
      <c r="Z41" s="4">
        <v>-2226</v>
      </c>
      <c r="AA41" s="4">
        <v>6817</v>
      </c>
      <c r="AB41" s="4">
        <v>1011</v>
      </c>
      <c r="AC41" s="4">
        <v>1000</v>
      </c>
      <c r="AD41" s="3"/>
      <c r="AF41" s="127"/>
      <c r="AG41" s="126" t="s">
        <v>8</v>
      </c>
      <c r="AH41" s="64" t="s">
        <v>5</v>
      </c>
      <c r="AI41" s="65">
        <v>-10.235950276542887</v>
      </c>
      <c r="AJ41" s="66">
        <v>0.1009237963450369</v>
      </c>
      <c r="AK41" s="66">
        <v>-21.460129345580714</v>
      </c>
      <c r="AL41" s="67">
        <v>0.98822879249494022</v>
      </c>
      <c r="AM41" s="60"/>
    </row>
    <row r="42" spans="21:39" ht="14.1" customHeight="1" x14ac:dyDescent="0.15">
      <c r="U42" s="3"/>
      <c r="V42" s="3"/>
      <c r="W42" s="3" t="s">
        <v>40</v>
      </c>
      <c r="X42" s="4">
        <v>7753</v>
      </c>
      <c r="Y42" s="3"/>
      <c r="Z42" s="4">
        <v>3161</v>
      </c>
      <c r="AA42" s="4">
        <v>12346</v>
      </c>
      <c r="AB42" s="4">
        <v>3415</v>
      </c>
      <c r="AC42" s="5" t="s">
        <v>41</v>
      </c>
      <c r="AD42" s="3" t="s">
        <v>42</v>
      </c>
      <c r="AF42" s="127"/>
      <c r="AG42" s="127"/>
      <c r="AH42" s="64" t="s">
        <v>6</v>
      </c>
      <c r="AI42" s="65">
        <v>-0.12839900700003626</v>
      </c>
      <c r="AJ42" s="66">
        <v>1</v>
      </c>
      <c r="AK42" s="66">
        <v>-10.374625782982292</v>
      </c>
      <c r="AL42" s="67">
        <v>10.11782776898222</v>
      </c>
      <c r="AM42" s="60"/>
    </row>
    <row r="43" spans="21:39" ht="14.1" customHeight="1" x14ac:dyDescent="0.15">
      <c r="U43" s="3"/>
      <c r="V43" s="3"/>
      <c r="W43" s="3" t="s">
        <v>43</v>
      </c>
      <c r="X43" s="4">
        <v>8738</v>
      </c>
      <c r="Y43" s="3"/>
      <c r="Z43" s="4">
        <v>4146</v>
      </c>
      <c r="AA43" s="4">
        <v>13331</v>
      </c>
      <c r="AB43" s="4">
        <v>3849</v>
      </c>
      <c r="AC43" s="5" t="s">
        <v>41</v>
      </c>
      <c r="AD43" s="3" t="s">
        <v>42</v>
      </c>
      <c r="AF43" s="127"/>
      <c r="AG43" s="127"/>
      <c r="AH43" s="64" t="s">
        <v>7</v>
      </c>
      <c r="AI43" s="65">
        <v>3.079336403999962</v>
      </c>
      <c r="AJ43" s="66">
        <v>1</v>
      </c>
      <c r="AK43" s="66">
        <v>-7.1668903719822978</v>
      </c>
      <c r="AL43" s="67">
        <v>13.325563179982222</v>
      </c>
      <c r="AM43" s="60"/>
    </row>
    <row r="44" spans="21:39" ht="14.1" customHeight="1" x14ac:dyDescent="0.15">
      <c r="U44" s="3"/>
      <c r="V44" s="3"/>
      <c r="W44" s="3" t="s">
        <v>44</v>
      </c>
      <c r="X44" s="4">
        <v>8893</v>
      </c>
      <c r="Y44" s="3"/>
      <c r="Z44" s="4">
        <v>4372</v>
      </c>
      <c r="AA44" s="4">
        <v>13415</v>
      </c>
      <c r="AB44" s="4">
        <v>3917</v>
      </c>
      <c r="AC44" s="5" t="s">
        <v>41</v>
      </c>
      <c r="AD44" s="3" t="s">
        <v>42</v>
      </c>
      <c r="AF44" s="127"/>
      <c r="AG44" s="126"/>
      <c r="AH44" s="71" t="s">
        <v>227</v>
      </c>
      <c r="AI44" s="77">
        <v>1.448596857285654</v>
      </c>
      <c r="AJ44" s="75">
        <v>1</v>
      </c>
      <c r="AK44" s="75">
        <v>-8.7976299186966127</v>
      </c>
      <c r="AL44" s="76">
        <v>11.694823633267921</v>
      </c>
      <c r="AM44" s="60"/>
    </row>
    <row r="45" spans="21:39" ht="14.1" customHeight="1" x14ac:dyDescent="0.15">
      <c r="U45" s="3"/>
      <c r="V45" s="3"/>
      <c r="W45" s="3" t="s">
        <v>45</v>
      </c>
      <c r="X45" s="4">
        <v>5577</v>
      </c>
      <c r="Y45" s="3"/>
      <c r="Z45" s="5" t="s">
        <v>65</v>
      </c>
      <c r="AA45" s="4">
        <v>10169</v>
      </c>
      <c r="AB45" s="4">
        <v>2456</v>
      </c>
      <c r="AC45" s="5" t="s">
        <v>46</v>
      </c>
      <c r="AD45" s="3" t="s">
        <v>47</v>
      </c>
      <c r="AF45" s="127"/>
      <c r="AG45" s="126" t="s">
        <v>227</v>
      </c>
      <c r="AH45" s="64" t="s">
        <v>5</v>
      </c>
      <c r="AI45" s="68" t="s">
        <v>260</v>
      </c>
      <c r="AJ45" s="66">
        <v>3.5564552241242157E-2</v>
      </c>
      <c r="AK45" s="66">
        <v>-22.908726202866369</v>
      </c>
      <c r="AL45" s="67">
        <v>-0.46036806479071402</v>
      </c>
      <c r="AM45" s="60"/>
    </row>
    <row r="46" spans="21:39" ht="14.1" customHeight="1" x14ac:dyDescent="0.15">
      <c r="U46" s="3"/>
      <c r="V46" s="3"/>
      <c r="W46" s="3" t="s">
        <v>48</v>
      </c>
      <c r="X46" s="4">
        <v>6539</v>
      </c>
      <c r="Y46" s="3"/>
      <c r="Z46" s="4">
        <v>1946</v>
      </c>
      <c r="AA46" s="4">
        <v>11131</v>
      </c>
      <c r="AB46" s="4">
        <v>2880</v>
      </c>
      <c r="AC46" s="5" t="s">
        <v>41</v>
      </c>
      <c r="AD46" s="3" t="s">
        <v>42</v>
      </c>
      <c r="AF46" s="127"/>
      <c r="AG46" s="127"/>
      <c r="AH46" s="64" t="s">
        <v>6</v>
      </c>
      <c r="AI46" s="65">
        <v>-1.5769958642856903</v>
      </c>
      <c r="AJ46" s="66">
        <v>1</v>
      </c>
      <c r="AK46" s="66">
        <v>-11.823222640267941</v>
      </c>
      <c r="AL46" s="67">
        <v>8.6692309116965607</v>
      </c>
      <c r="AM46" s="60"/>
    </row>
    <row r="47" spans="21:39" ht="14.1" customHeight="1" x14ac:dyDescent="0.15">
      <c r="U47" s="3"/>
      <c r="V47" s="3"/>
      <c r="W47" s="3" t="s">
        <v>49</v>
      </c>
      <c r="X47" s="4">
        <v>5635</v>
      </c>
      <c r="Y47" s="3"/>
      <c r="Z47" s="4">
        <v>1114</v>
      </c>
      <c r="AA47" s="4">
        <v>10156</v>
      </c>
      <c r="AB47" s="4">
        <v>2482</v>
      </c>
      <c r="AC47" s="5" t="s">
        <v>68</v>
      </c>
      <c r="AD47" s="3" t="s">
        <v>47</v>
      </c>
      <c r="AF47" s="127"/>
      <c r="AG47" s="127"/>
      <c r="AH47" s="64" t="s">
        <v>7</v>
      </c>
      <c r="AI47" s="65">
        <v>1.6307395467143078</v>
      </c>
      <c r="AJ47" s="66">
        <v>1</v>
      </c>
      <c r="AK47" s="66">
        <v>-8.6154872292679485</v>
      </c>
      <c r="AL47" s="67">
        <v>11.876966322696564</v>
      </c>
      <c r="AM47" s="60"/>
    </row>
    <row r="48" spans="21:39" ht="14.1" customHeight="1" x14ac:dyDescent="0.15">
      <c r="U48" s="3"/>
      <c r="V48" s="3"/>
      <c r="W48" s="3" t="s">
        <v>50</v>
      </c>
      <c r="X48" s="4">
        <v>4470</v>
      </c>
      <c r="Y48" s="3"/>
      <c r="Z48" s="5" t="s">
        <v>66</v>
      </c>
      <c r="AA48" s="4">
        <v>9062</v>
      </c>
      <c r="AB48" s="4">
        <v>1969</v>
      </c>
      <c r="AC48" s="5" t="s">
        <v>67</v>
      </c>
      <c r="AD48" s="3"/>
      <c r="AF48" s="126"/>
      <c r="AG48" s="126"/>
      <c r="AH48" s="71" t="s">
        <v>8</v>
      </c>
      <c r="AI48" s="77">
        <v>-1.448596857285654</v>
      </c>
      <c r="AJ48" s="75">
        <v>1</v>
      </c>
      <c r="AK48" s="75">
        <v>-11.694823633267921</v>
      </c>
      <c r="AL48" s="76">
        <v>8.7976299186966127</v>
      </c>
      <c r="AM48" s="60"/>
    </row>
    <row r="49" spans="21:39" ht="14.1" customHeight="1" x14ac:dyDescent="0.15">
      <c r="U49" s="3"/>
      <c r="V49" s="3"/>
      <c r="W49" s="3" t="s">
        <v>53</v>
      </c>
      <c r="X49" s="4">
        <v>6292</v>
      </c>
      <c r="Y49" s="3"/>
      <c r="Z49" s="4">
        <v>1700</v>
      </c>
      <c r="AA49" s="4">
        <v>10885</v>
      </c>
      <c r="AB49" s="4">
        <v>2771</v>
      </c>
      <c r="AC49" s="5" t="s">
        <v>41</v>
      </c>
      <c r="AD49" s="3" t="s">
        <v>42</v>
      </c>
      <c r="AF49" s="126" t="s">
        <v>229</v>
      </c>
      <c r="AG49" s="129" t="s">
        <v>5</v>
      </c>
      <c r="AH49" s="81" t="s">
        <v>6</v>
      </c>
      <c r="AI49" s="85" t="s">
        <v>261</v>
      </c>
      <c r="AJ49" s="83">
        <v>6.8988582517871431E-3</v>
      </c>
      <c r="AK49" s="83">
        <v>2.6277651504271162</v>
      </c>
      <c r="AL49" s="84">
        <v>23.650039050715751</v>
      </c>
      <c r="AM49" s="60"/>
    </row>
    <row r="50" spans="21:39" ht="14.1" customHeight="1" x14ac:dyDescent="0.15">
      <c r="U50" s="3"/>
      <c r="V50" s="3"/>
      <c r="W50" s="3" t="s">
        <v>54</v>
      </c>
      <c r="X50" s="4">
        <v>6154</v>
      </c>
      <c r="Y50" s="3"/>
      <c r="Z50" s="4">
        <v>1633</v>
      </c>
      <c r="AA50" s="4">
        <v>10676</v>
      </c>
      <c r="AB50" s="4">
        <v>2711</v>
      </c>
      <c r="AC50" s="5" t="s">
        <v>41</v>
      </c>
      <c r="AD50" s="3" t="s">
        <v>42</v>
      </c>
      <c r="AF50" s="127"/>
      <c r="AG50" s="130"/>
      <c r="AH50" s="81" t="s">
        <v>7</v>
      </c>
      <c r="AI50" s="85" t="s">
        <v>262</v>
      </c>
      <c r="AJ50" s="83">
        <v>3.9110061359105928E-4</v>
      </c>
      <c r="AK50" s="83">
        <v>5.9782359869985484</v>
      </c>
      <c r="AL50" s="84">
        <v>27.00050988728718</v>
      </c>
      <c r="AM50" s="60"/>
    </row>
    <row r="51" spans="21:39" ht="14.1" customHeight="1" x14ac:dyDescent="0.15">
      <c r="U51" s="3"/>
      <c r="V51" s="3"/>
      <c r="W51" s="3" t="s">
        <v>55</v>
      </c>
      <c r="X51" s="4">
        <v>4470</v>
      </c>
      <c r="Y51" s="3"/>
      <c r="Z51" s="5" t="s">
        <v>66</v>
      </c>
      <c r="AA51" s="4">
        <v>9062</v>
      </c>
      <c r="AB51" s="4">
        <v>1969</v>
      </c>
      <c r="AC51" s="5" t="s">
        <v>67</v>
      </c>
      <c r="AD51" s="3"/>
      <c r="AF51" s="127"/>
      <c r="AG51" s="130"/>
      <c r="AH51" s="81" t="s">
        <v>8</v>
      </c>
      <c r="AI51" s="82">
        <v>6.7867197621428268</v>
      </c>
      <c r="AJ51" s="83">
        <v>0.50163072928985131</v>
      </c>
      <c r="AK51" s="83">
        <v>-3.7244171880014925</v>
      </c>
      <c r="AL51" s="84">
        <v>17.297856712287146</v>
      </c>
      <c r="AM51" s="60"/>
    </row>
    <row r="52" spans="21:39" ht="14.1" customHeight="1" x14ac:dyDescent="0.15">
      <c r="U52" s="3"/>
      <c r="V52" s="3"/>
      <c r="W52" s="3" t="s">
        <v>56</v>
      </c>
      <c r="X52" s="4">
        <v>7763</v>
      </c>
      <c r="Y52" s="3"/>
      <c r="Z52" s="4">
        <v>3170</v>
      </c>
      <c r="AA52" s="4">
        <v>12355</v>
      </c>
      <c r="AB52" s="4">
        <v>3419</v>
      </c>
      <c r="AC52" s="5" t="s">
        <v>41</v>
      </c>
      <c r="AD52" s="3" t="s">
        <v>42</v>
      </c>
      <c r="AF52" s="127"/>
      <c r="AG52" s="129"/>
      <c r="AH52" s="86" t="s">
        <v>227</v>
      </c>
      <c r="AI52" s="87" t="s">
        <v>237</v>
      </c>
      <c r="AJ52" s="96"/>
      <c r="AK52" s="96"/>
      <c r="AL52" s="97"/>
      <c r="AM52" s="60"/>
    </row>
    <row r="53" spans="21:39" ht="14.1" customHeight="1" x14ac:dyDescent="0.15">
      <c r="U53" s="3"/>
      <c r="V53" s="3"/>
      <c r="W53" s="3" t="s">
        <v>57</v>
      </c>
      <c r="X53" s="4">
        <v>6653</v>
      </c>
      <c r="Y53" s="3"/>
      <c r="Z53" s="4">
        <v>2131</v>
      </c>
      <c r="AA53" s="4">
        <v>11174</v>
      </c>
      <c r="AB53" s="4">
        <v>2930</v>
      </c>
      <c r="AC53" s="5" t="s">
        <v>41</v>
      </c>
      <c r="AD53" s="3" t="s">
        <v>42</v>
      </c>
      <c r="AF53" s="127"/>
      <c r="AG53" s="126" t="s">
        <v>6</v>
      </c>
      <c r="AH53" s="64" t="s">
        <v>5</v>
      </c>
      <c r="AI53" s="68" t="s">
        <v>263</v>
      </c>
      <c r="AJ53" s="66">
        <v>6.8988582517871431E-3</v>
      </c>
      <c r="AK53" s="66">
        <v>-23.650039050715751</v>
      </c>
      <c r="AL53" s="67">
        <v>-2.6277651504271162</v>
      </c>
      <c r="AM53" s="60"/>
    </row>
    <row r="54" spans="21:39" ht="14.1" customHeight="1" x14ac:dyDescent="0.15">
      <c r="U54" s="3"/>
      <c r="V54" s="3"/>
      <c r="W54" s="3" t="s">
        <v>58</v>
      </c>
      <c r="X54" s="4">
        <v>7333</v>
      </c>
      <c r="Y54" s="3"/>
      <c r="Z54" s="4">
        <v>2741</v>
      </c>
      <c r="AA54" s="4">
        <v>11926</v>
      </c>
      <c r="AB54" s="4">
        <v>3230</v>
      </c>
      <c r="AC54" s="5" t="s">
        <v>41</v>
      </c>
      <c r="AD54" s="3" t="s">
        <v>42</v>
      </c>
      <c r="AF54" s="127"/>
      <c r="AG54" s="127"/>
      <c r="AH54" s="64" t="s">
        <v>7</v>
      </c>
      <c r="AI54" s="65">
        <v>3.3504708365714304</v>
      </c>
      <c r="AJ54" s="66">
        <v>1</v>
      </c>
      <c r="AK54" s="66">
        <v>-6.2448405177953941</v>
      </c>
      <c r="AL54" s="67">
        <v>12.945782190938255</v>
      </c>
      <c r="AM54" s="60"/>
    </row>
    <row r="55" spans="21:39" ht="14.1" customHeight="1" x14ac:dyDescent="0.15">
      <c r="U55" s="3"/>
      <c r="V55" s="3"/>
      <c r="W55" s="3" t="s">
        <v>59</v>
      </c>
      <c r="X55" s="4">
        <v>7669</v>
      </c>
      <c r="Y55" s="3"/>
      <c r="Z55" s="4">
        <v>3076</v>
      </c>
      <c r="AA55" s="4">
        <v>12261</v>
      </c>
      <c r="AB55" s="4">
        <v>3378</v>
      </c>
      <c r="AC55" s="5" t="s">
        <v>41</v>
      </c>
      <c r="AD55" s="3" t="s">
        <v>42</v>
      </c>
      <c r="AF55" s="127"/>
      <c r="AG55" s="127"/>
      <c r="AH55" s="64" t="s">
        <v>8</v>
      </c>
      <c r="AI55" s="65">
        <v>-6.3521823384286069</v>
      </c>
      <c r="AJ55" s="66">
        <v>0.45748323206046149</v>
      </c>
      <c r="AK55" s="66">
        <v>-15.947493692795442</v>
      </c>
      <c r="AL55" s="67">
        <v>3.2431290159382282</v>
      </c>
      <c r="AM55" s="60"/>
    </row>
    <row r="56" spans="21:39" ht="14.1" customHeight="1" x14ac:dyDescent="0.15">
      <c r="U56" s="3"/>
      <c r="V56" s="3"/>
      <c r="W56" s="3" t="s">
        <v>60</v>
      </c>
      <c r="X56" s="4">
        <v>9856</v>
      </c>
      <c r="Y56" s="3"/>
      <c r="Z56" s="4">
        <v>5335</v>
      </c>
      <c r="AA56" s="4">
        <v>14377</v>
      </c>
      <c r="AB56" s="4">
        <v>4341</v>
      </c>
      <c r="AC56" s="5" t="s">
        <v>41</v>
      </c>
      <c r="AD56" s="3" t="s">
        <v>42</v>
      </c>
      <c r="AF56" s="127"/>
      <c r="AG56" s="126"/>
      <c r="AH56" s="71" t="s">
        <v>227</v>
      </c>
      <c r="AI56" s="72" t="s">
        <v>237</v>
      </c>
      <c r="AJ56" s="73"/>
      <c r="AK56" s="73"/>
      <c r="AL56" s="74"/>
      <c r="AM56" s="60"/>
    </row>
    <row r="57" spans="21:39" ht="14.1" customHeight="1" x14ac:dyDescent="0.15">
      <c r="U57" s="3" t="s">
        <v>34</v>
      </c>
      <c r="V57" s="3"/>
      <c r="W57" s="3" t="s">
        <v>37</v>
      </c>
      <c r="X57" s="5" t="s">
        <v>69</v>
      </c>
      <c r="Y57" s="3"/>
      <c r="Z57" s="4">
        <v>-5374</v>
      </c>
      <c r="AA57" s="4">
        <v>3811</v>
      </c>
      <c r="AB57" s="5" t="s">
        <v>70</v>
      </c>
      <c r="AC57" s="4">
        <v>1000</v>
      </c>
      <c r="AD57" s="3"/>
      <c r="AF57" s="127"/>
      <c r="AG57" s="126" t="s">
        <v>7</v>
      </c>
      <c r="AH57" s="64" t="s">
        <v>5</v>
      </c>
      <c r="AI57" s="68" t="s">
        <v>264</v>
      </c>
      <c r="AJ57" s="66">
        <v>3.9110061359105928E-4</v>
      </c>
      <c r="AK57" s="66">
        <v>-27.00050988728718</v>
      </c>
      <c r="AL57" s="67">
        <v>-5.9782359869985484</v>
      </c>
      <c r="AM57" s="60"/>
    </row>
    <row r="58" spans="21:39" ht="14.1" customHeight="1" x14ac:dyDescent="0.15">
      <c r="U58" s="3"/>
      <c r="V58" s="3"/>
      <c r="W58" s="3" t="s">
        <v>39</v>
      </c>
      <c r="X58" s="4">
        <v>-1976</v>
      </c>
      <c r="Y58" s="3"/>
      <c r="Z58" s="4">
        <v>-6568</v>
      </c>
      <c r="AA58" s="4">
        <v>2617</v>
      </c>
      <c r="AB58" s="5" t="s">
        <v>71</v>
      </c>
      <c r="AC58" s="4">
        <v>1000</v>
      </c>
      <c r="AD58" s="3"/>
      <c r="AF58" s="127"/>
      <c r="AG58" s="127"/>
      <c r="AH58" s="64" t="s">
        <v>6</v>
      </c>
      <c r="AI58" s="65">
        <v>-3.3504708365714304</v>
      </c>
      <c r="AJ58" s="66">
        <v>1</v>
      </c>
      <c r="AK58" s="66">
        <v>-12.945782190938255</v>
      </c>
      <c r="AL58" s="67">
        <v>6.2448405177953941</v>
      </c>
      <c r="AM58" s="60"/>
    </row>
    <row r="59" spans="21:39" ht="14.1" customHeight="1" x14ac:dyDescent="0.15">
      <c r="U59" s="3"/>
      <c r="V59" s="3"/>
      <c r="W59" s="3" t="s">
        <v>40</v>
      </c>
      <c r="X59" s="4">
        <v>3482</v>
      </c>
      <c r="Y59" s="3"/>
      <c r="Z59" s="4">
        <v>-1039</v>
      </c>
      <c r="AA59" s="4">
        <v>8003</v>
      </c>
      <c r="AB59" s="4">
        <v>1534</v>
      </c>
      <c r="AC59" s="5" t="s">
        <v>72</v>
      </c>
      <c r="AD59" s="3"/>
      <c r="AF59" s="127"/>
      <c r="AG59" s="127"/>
      <c r="AH59" s="64" t="s">
        <v>8</v>
      </c>
      <c r="AI59" s="68" t="s">
        <v>265</v>
      </c>
      <c r="AJ59" s="66">
        <v>4.6026684403089581E-2</v>
      </c>
      <c r="AK59" s="66">
        <v>-19.297964529366865</v>
      </c>
      <c r="AL59" s="67">
        <v>-0.1073418206332093</v>
      </c>
      <c r="AM59" s="60"/>
    </row>
    <row r="60" spans="21:39" ht="14.1" customHeight="1" x14ac:dyDescent="0.15">
      <c r="U60" s="3"/>
      <c r="V60" s="3"/>
      <c r="W60" s="3" t="s">
        <v>43</v>
      </c>
      <c r="X60" s="4">
        <v>4467</v>
      </c>
      <c r="Y60" s="3"/>
      <c r="Z60" s="5" t="s">
        <v>73</v>
      </c>
      <c r="AA60" s="4">
        <v>9060</v>
      </c>
      <c r="AB60" s="4">
        <v>1968</v>
      </c>
      <c r="AC60" s="5" t="s">
        <v>67</v>
      </c>
      <c r="AD60" s="3"/>
      <c r="AF60" s="127"/>
      <c r="AG60" s="126"/>
      <c r="AH60" s="71" t="s">
        <v>227</v>
      </c>
      <c r="AI60" s="72" t="s">
        <v>237</v>
      </c>
      <c r="AJ60" s="73"/>
      <c r="AK60" s="73"/>
      <c r="AL60" s="74"/>
      <c r="AM60" s="60"/>
    </row>
    <row r="61" spans="21:39" ht="14.1" customHeight="1" x14ac:dyDescent="0.15">
      <c r="U61" s="3"/>
      <c r="V61" s="3"/>
      <c r="W61" s="3" t="s">
        <v>44</v>
      </c>
      <c r="X61" s="4">
        <v>4622</v>
      </c>
      <c r="Y61" s="3"/>
      <c r="Z61" s="5" t="s">
        <v>74</v>
      </c>
      <c r="AA61" s="4">
        <v>9215</v>
      </c>
      <c r="AB61" s="4">
        <v>2036</v>
      </c>
      <c r="AC61" s="5" t="s">
        <v>75</v>
      </c>
      <c r="AD61" s="3" t="s">
        <v>76</v>
      </c>
      <c r="AF61" s="127"/>
      <c r="AG61" s="126" t="s">
        <v>8</v>
      </c>
      <c r="AH61" s="64" t="s">
        <v>5</v>
      </c>
      <c r="AI61" s="65">
        <v>-6.7867197621428268</v>
      </c>
      <c r="AJ61" s="66">
        <v>0.50163072928985131</v>
      </c>
      <c r="AK61" s="66">
        <v>-17.297856712287146</v>
      </c>
      <c r="AL61" s="67">
        <v>3.7244171880014925</v>
      </c>
      <c r="AM61" s="60"/>
    </row>
    <row r="62" spans="21:39" ht="14.1" customHeight="1" x14ac:dyDescent="0.15">
      <c r="U62" s="3"/>
      <c r="V62" s="3"/>
      <c r="W62" s="3" t="s">
        <v>45</v>
      </c>
      <c r="X62" s="4">
        <v>1306</v>
      </c>
      <c r="Y62" s="3"/>
      <c r="Z62" s="4">
        <v>-3216</v>
      </c>
      <c r="AA62" s="4">
        <v>5827</v>
      </c>
      <c r="AB62" s="5" t="s">
        <v>77</v>
      </c>
      <c r="AC62" s="4">
        <v>1000</v>
      </c>
      <c r="AD62" s="3"/>
      <c r="AF62" s="127"/>
      <c r="AG62" s="127"/>
      <c r="AH62" s="64" t="s">
        <v>6</v>
      </c>
      <c r="AI62" s="65">
        <v>6.3521823384286069</v>
      </c>
      <c r="AJ62" s="66">
        <v>0.45748323206046149</v>
      </c>
      <c r="AK62" s="66">
        <v>-3.2431290159382282</v>
      </c>
      <c r="AL62" s="67">
        <v>15.947493692795442</v>
      </c>
      <c r="AM62" s="60"/>
    </row>
    <row r="63" spans="21:39" ht="14.1" customHeight="1" x14ac:dyDescent="0.15">
      <c r="U63" s="3"/>
      <c r="V63" s="3"/>
      <c r="W63" s="3" t="s">
        <v>48</v>
      </c>
      <c r="X63" s="4">
        <v>2267</v>
      </c>
      <c r="Y63" s="3"/>
      <c r="Z63" s="4">
        <v>-2325</v>
      </c>
      <c r="AA63" s="4">
        <v>6860</v>
      </c>
      <c r="AB63" s="5" t="s">
        <v>78</v>
      </c>
      <c r="AC63" s="4">
        <v>1000</v>
      </c>
      <c r="AD63" s="3"/>
      <c r="AF63" s="127"/>
      <c r="AG63" s="127"/>
      <c r="AH63" s="64" t="s">
        <v>7</v>
      </c>
      <c r="AI63" s="68" t="s">
        <v>266</v>
      </c>
      <c r="AJ63" s="66">
        <v>4.6026684403089581E-2</v>
      </c>
      <c r="AK63" s="66">
        <v>0.1073418206332093</v>
      </c>
      <c r="AL63" s="67">
        <v>19.297964529366865</v>
      </c>
      <c r="AM63" s="60"/>
    </row>
    <row r="64" spans="21:39" ht="14.1" customHeight="1" x14ac:dyDescent="0.15">
      <c r="U64" s="3"/>
      <c r="V64" s="3"/>
      <c r="W64" s="3" t="s">
        <v>49</v>
      </c>
      <c r="X64" s="4">
        <v>1364</v>
      </c>
      <c r="Y64" s="3"/>
      <c r="Z64" s="4">
        <v>-3228</v>
      </c>
      <c r="AA64" s="4">
        <v>5957</v>
      </c>
      <c r="AB64" s="5" t="s">
        <v>79</v>
      </c>
      <c r="AC64" s="4">
        <v>1000</v>
      </c>
      <c r="AD64" s="3"/>
      <c r="AF64" s="127"/>
      <c r="AG64" s="126"/>
      <c r="AH64" s="71" t="s">
        <v>227</v>
      </c>
      <c r="AI64" s="72" t="s">
        <v>237</v>
      </c>
      <c r="AJ64" s="73"/>
      <c r="AK64" s="73"/>
      <c r="AL64" s="74"/>
      <c r="AM64" s="60"/>
    </row>
    <row r="65" spans="21:39" ht="14.1" customHeight="1" x14ac:dyDescent="0.15">
      <c r="U65" s="3"/>
      <c r="V65" s="3"/>
      <c r="W65" s="3" t="s">
        <v>50</v>
      </c>
      <c r="X65" s="5" t="s">
        <v>80</v>
      </c>
      <c r="Y65" s="3"/>
      <c r="Z65" s="4">
        <v>-4323</v>
      </c>
      <c r="AA65" s="4">
        <v>4720</v>
      </c>
      <c r="AB65" s="5" t="s">
        <v>81</v>
      </c>
      <c r="AC65" s="4">
        <v>1000</v>
      </c>
      <c r="AD65" s="3"/>
      <c r="AF65" s="127"/>
      <c r="AG65" s="126" t="s">
        <v>227</v>
      </c>
      <c r="AH65" s="64" t="s">
        <v>5</v>
      </c>
      <c r="AI65" s="68" t="s">
        <v>238</v>
      </c>
      <c r="AJ65" s="69"/>
      <c r="AK65" s="69"/>
      <c r="AL65" s="70"/>
      <c r="AM65" s="60"/>
    </row>
    <row r="66" spans="21:39" ht="14.1" customHeight="1" x14ac:dyDescent="0.15">
      <c r="U66" s="3"/>
      <c r="V66" s="3"/>
      <c r="W66" s="3" t="s">
        <v>53</v>
      </c>
      <c r="X66" s="4">
        <v>2021</v>
      </c>
      <c r="Y66" s="3"/>
      <c r="Z66" s="4">
        <v>-2571</v>
      </c>
      <c r="AA66" s="4">
        <v>6614</v>
      </c>
      <c r="AB66" s="5" t="s">
        <v>82</v>
      </c>
      <c r="AC66" s="4">
        <v>1000</v>
      </c>
      <c r="AD66" s="3"/>
      <c r="AF66" s="127"/>
      <c r="AG66" s="127"/>
      <c r="AH66" s="64" t="s">
        <v>6</v>
      </c>
      <c r="AI66" s="68" t="s">
        <v>238</v>
      </c>
      <c r="AJ66" s="69"/>
      <c r="AK66" s="69"/>
      <c r="AL66" s="70"/>
      <c r="AM66" s="60"/>
    </row>
    <row r="67" spans="21:39" ht="14.1" customHeight="1" x14ac:dyDescent="0.15">
      <c r="U67" s="3"/>
      <c r="V67" s="3"/>
      <c r="W67" s="3" t="s">
        <v>54</v>
      </c>
      <c r="X67" s="4">
        <v>1883</v>
      </c>
      <c r="Y67" s="3"/>
      <c r="Z67" s="4">
        <v>-2709</v>
      </c>
      <c r="AA67" s="4">
        <v>6476</v>
      </c>
      <c r="AB67" s="5" t="s">
        <v>83</v>
      </c>
      <c r="AC67" s="4">
        <v>1000</v>
      </c>
      <c r="AD67" s="3"/>
      <c r="AF67" s="127"/>
      <c r="AG67" s="127"/>
      <c r="AH67" s="64" t="s">
        <v>7</v>
      </c>
      <c r="AI67" s="68" t="s">
        <v>238</v>
      </c>
      <c r="AJ67" s="69"/>
      <c r="AK67" s="69"/>
      <c r="AL67" s="70"/>
      <c r="AM67" s="60"/>
    </row>
    <row r="68" spans="21:39" ht="14.1" customHeight="1" x14ac:dyDescent="0.15">
      <c r="U68" s="3"/>
      <c r="V68" s="3"/>
      <c r="W68" s="3" t="s">
        <v>55</v>
      </c>
      <c r="X68" s="5" t="s">
        <v>80</v>
      </c>
      <c r="Y68" s="3"/>
      <c r="Z68" s="4">
        <v>-4323</v>
      </c>
      <c r="AA68" s="4">
        <v>4720</v>
      </c>
      <c r="AB68" s="5" t="s">
        <v>81</v>
      </c>
      <c r="AC68" s="4">
        <v>1000</v>
      </c>
      <c r="AD68" s="3"/>
      <c r="AF68" s="128"/>
      <c r="AG68" s="128"/>
      <c r="AH68" s="61" t="s">
        <v>8</v>
      </c>
      <c r="AI68" s="78" t="s">
        <v>238</v>
      </c>
      <c r="AJ68" s="79"/>
      <c r="AK68" s="79"/>
      <c r="AL68" s="80"/>
      <c r="AM68" s="60"/>
    </row>
    <row r="69" spans="21:39" ht="14.1" customHeight="1" x14ac:dyDescent="0.15">
      <c r="U69" s="3"/>
      <c r="V69" s="3"/>
      <c r="W69" s="3" t="s">
        <v>56</v>
      </c>
      <c r="X69" s="4">
        <v>3491</v>
      </c>
      <c r="Y69" s="3"/>
      <c r="Z69" s="4">
        <v>-1101</v>
      </c>
      <c r="AA69" s="4">
        <v>8084</v>
      </c>
      <c r="AB69" s="4">
        <v>1538</v>
      </c>
      <c r="AC69" s="5" t="s">
        <v>84</v>
      </c>
      <c r="AD69" s="3"/>
      <c r="AF69" s="125" t="s">
        <v>230</v>
      </c>
      <c r="AG69" s="125"/>
      <c r="AH69" s="125"/>
      <c r="AI69" s="125"/>
      <c r="AJ69" s="125"/>
      <c r="AK69" s="125"/>
      <c r="AL69" s="125"/>
      <c r="AM69" s="60"/>
    </row>
    <row r="70" spans="21:39" ht="14.1" customHeight="1" x14ac:dyDescent="0.15">
      <c r="U70" s="3"/>
      <c r="V70" s="3"/>
      <c r="W70" s="3" t="s">
        <v>57</v>
      </c>
      <c r="X70" s="4">
        <v>2381</v>
      </c>
      <c r="Y70" s="3"/>
      <c r="Z70" s="4">
        <v>-2211</v>
      </c>
      <c r="AA70" s="4">
        <v>6974</v>
      </c>
      <c r="AB70" s="4">
        <v>1049</v>
      </c>
      <c r="AC70" s="4">
        <v>1000</v>
      </c>
      <c r="AD70" s="3"/>
      <c r="AF70" s="125" t="s">
        <v>231</v>
      </c>
      <c r="AG70" s="125"/>
      <c r="AH70" s="125"/>
      <c r="AI70" s="125"/>
      <c r="AJ70" s="125"/>
      <c r="AK70" s="125"/>
      <c r="AL70" s="125"/>
      <c r="AM70" s="60"/>
    </row>
    <row r="71" spans="21:39" ht="14.1" customHeight="1" x14ac:dyDescent="0.15">
      <c r="U71" s="3"/>
      <c r="V71" s="3"/>
      <c r="W71" s="3" t="s">
        <v>58</v>
      </c>
      <c r="X71" s="4">
        <v>3062</v>
      </c>
      <c r="Y71" s="3"/>
      <c r="Z71" s="4">
        <v>-1459</v>
      </c>
      <c r="AA71" s="4">
        <v>7583</v>
      </c>
      <c r="AB71" s="4">
        <v>1349</v>
      </c>
      <c r="AC71" s="4">
        <v>1000</v>
      </c>
      <c r="AD71" s="3"/>
      <c r="AF71" s="125" t="s">
        <v>232</v>
      </c>
      <c r="AG71" s="125"/>
      <c r="AH71" s="125"/>
      <c r="AI71" s="125"/>
      <c r="AJ71" s="125"/>
      <c r="AK71" s="125"/>
      <c r="AL71" s="125"/>
      <c r="AM71" s="60"/>
    </row>
    <row r="72" spans="21:39" ht="14.1" customHeight="1" x14ac:dyDescent="0.15">
      <c r="U72" s="3"/>
      <c r="V72" s="3"/>
      <c r="W72" s="3" t="s">
        <v>59</v>
      </c>
      <c r="X72" s="4">
        <v>3398</v>
      </c>
      <c r="Y72" s="3"/>
      <c r="Z72" s="4">
        <v>-1195</v>
      </c>
      <c r="AA72" s="4">
        <v>7990</v>
      </c>
      <c r="AB72" s="4">
        <v>1497</v>
      </c>
      <c r="AC72" s="4">
        <v>1000</v>
      </c>
      <c r="AD72" s="3"/>
      <c r="AF72" s="125" t="s">
        <v>233</v>
      </c>
      <c r="AG72" s="125"/>
      <c r="AH72" s="125"/>
      <c r="AI72" s="125"/>
      <c r="AJ72" s="125"/>
      <c r="AK72" s="125"/>
      <c r="AL72" s="125"/>
      <c r="AM72" s="60"/>
    </row>
    <row r="73" spans="21:39" ht="14.1" customHeight="1" x14ac:dyDescent="0.15">
      <c r="U73" s="3"/>
      <c r="V73" s="3"/>
      <c r="W73" s="3" t="s">
        <v>60</v>
      </c>
      <c r="X73" s="4">
        <v>5585</v>
      </c>
      <c r="Y73" s="3"/>
      <c r="Z73" s="5" t="s">
        <v>84</v>
      </c>
      <c r="AA73" s="4">
        <v>10177</v>
      </c>
      <c r="AB73" s="4">
        <v>2460</v>
      </c>
      <c r="AC73" s="5" t="s">
        <v>46</v>
      </c>
      <c r="AD73" s="3" t="s">
        <v>47</v>
      </c>
      <c r="AF73" s="125" t="s">
        <v>234</v>
      </c>
      <c r="AG73" s="125"/>
      <c r="AH73" s="125"/>
      <c r="AI73" s="125"/>
      <c r="AJ73" s="125"/>
      <c r="AK73" s="125"/>
      <c r="AL73" s="125"/>
      <c r="AM73" s="60"/>
    </row>
    <row r="74" spans="21:39" ht="14.1" customHeight="1" x14ac:dyDescent="0.15">
      <c r="U74" s="3" t="s">
        <v>37</v>
      </c>
      <c r="V74" s="3"/>
      <c r="W74" s="3" t="s">
        <v>39</v>
      </c>
      <c r="X74" s="4">
        <v>-1194</v>
      </c>
      <c r="Y74" s="3"/>
      <c r="Z74" s="4">
        <v>-5787</v>
      </c>
      <c r="AA74" s="4">
        <v>3398</v>
      </c>
      <c r="AB74" s="5" t="s">
        <v>85</v>
      </c>
      <c r="AC74" s="4">
        <v>1000</v>
      </c>
      <c r="AD74" s="3"/>
    </row>
    <row r="75" spans="21:39" ht="14.1" customHeight="1" x14ac:dyDescent="0.15">
      <c r="U75" s="3"/>
      <c r="V75" s="3"/>
      <c r="W75" s="3" t="s">
        <v>40</v>
      </c>
      <c r="X75" s="4">
        <v>4264</v>
      </c>
      <c r="Y75" s="3"/>
      <c r="Z75" s="5" t="s">
        <v>86</v>
      </c>
      <c r="AA75" s="4">
        <v>8856</v>
      </c>
      <c r="AB75" s="4">
        <v>1878</v>
      </c>
      <c r="AC75" s="5" t="s">
        <v>87</v>
      </c>
      <c r="AD75" s="3"/>
    </row>
    <row r="76" spans="21:39" ht="14.1" customHeight="1" x14ac:dyDescent="0.15">
      <c r="U76" s="3"/>
      <c r="V76" s="3"/>
      <c r="W76" s="3" t="s">
        <v>43</v>
      </c>
      <c r="X76" s="4">
        <v>5249</v>
      </c>
      <c r="Y76" s="3"/>
      <c r="Z76" s="5" t="s">
        <v>88</v>
      </c>
      <c r="AA76" s="4">
        <v>9770</v>
      </c>
      <c r="AB76" s="4">
        <v>2312</v>
      </c>
      <c r="AC76" s="5" t="s">
        <v>89</v>
      </c>
      <c r="AD76" s="3" t="s">
        <v>47</v>
      </c>
    </row>
    <row r="77" spans="21:39" ht="14.1" customHeight="1" x14ac:dyDescent="0.15">
      <c r="U77" s="3"/>
      <c r="V77" s="3"/>
      <c r="W77" s="3" t="s">
        <v>44</v>
      </c>
      <c r="X77" s="4">
        <v>5404</v>
      </c>
      <c r="Y77" s="3"/>
      <c r="Z77" s="5" t="s">
        <v>90</v>
      </c>
      <c r="AA77" s="4">
        <v>9996</v>
      </c>
      <c r="AB77" s="4">
        <v>2380</v>
      </c>
      <c r="AC77" s="5" t="s">
        <v>91</v>
      </c>
      <c r="AD77" s="3" t="s">
        <v>47</v>
      </c>
    </row>
    <row r="78" spans="21:39" ht="14.1" customHeight="1" x14ac:dyDescent="0.15">
      <c r="U78" s="3"/>
      <c r="V78" s="3"/>
      <c r="W78" s="3" t="s">
        <v>45</v>
      </c>
      <c r="X78" s="4">
        <v>2087</v>
      </c>
      <c r="Y78" s="3"/>
      <c r="Z78" s="4">
        <v>-2505</v>
      </c>
      <c r="AA78" s="4">
        <v>6680</v>
      </c>
      <c r="AB78" s="5" t="s">
        <v>92</v>
      </c>
      <c r="AC78" s="4">
        <v>1000</v>
      </c>
      <c r="AD78" s="3"/>
    </row>
    <row r="79" spans="21:39" ht="14.1" customHeight="1" x14ac:dyDescent="0.15">
      <c r="U79" s="3"/>
      <c r="V79" s="3"/>
      <c r="W79" s="3" t="s">
        <v>48</v>
      </c>
      <c r="X79" s="4">
        <v>3049</v>
      </c>
      <c r="Y79" s="3"/>
      <c r="Z79" s="4">
        <v>-1472</v>
      </c>
      <c r="AA79" s="4">
        <v>7570</v>
      </c>
      <c r="AB79" s="4">
        <v>1343</v>
      </c>
      <c r="AC79" s="4">
        <v>1000</v>
      </c>
      <c r="AD79" s="3"/>
    </row>
    <row r="80" spans="21:39" ht="14.1" customHeight="1" x14ac:dyDescent="0.15">
      <c r="U80" s="3"/>
      <c r="V80" s="3"/>
      <c r="W80" s="3" t="s">
        <v>49</v>
      </c>
      <c r="X80" s="4">
        <v>2146</v>
      </c>
      <c r="Y80" s="3"/>
      <c r="Z80" s="4">
        <v>-2447</v>
      </c>
      <c r="AA80" s="4">
        <v>6738</v>
      </c>
      <c r="AB80" s="5" t="s">
        <v>93</v>
      </c>
      <c r="AC80" s="4">
        <v>1000</v>
      </c>
      <c r="AD80" s="3"/>
    </row>
    <row r="81" spans="21:30" ht="14.1" customHeight="1" x14ac:dyDescent="0.15">
      <c r="U81" s="3"/>
      <c r="V81" s="3"/>
      <c r="W81" s="3" t="s">
        <v>50</v>
      </c>
      <c r="X81" s="5" t="s">
        <v>94</v>
      </c>
      <c r="Y81" s="3"/>
      <c r="Z81" s="4">
        <v>-3613</v>
      </c>
      <c r="AA81" s="4">
        <v>5572</v>
      </c>
      <c r="AB81" s="5" t="s">
        <v>95</v>
      </c>
      <c r="AC81" s="4">
        <v>1000</v>
      </c>
      <c r="AD81" s="3"/>
    </row>
    <row r="82" spans="21:30" ht="14.1" customHeight="1" x14ac:dyDescent="0.15">
      <c r="U82" s="3"/>
      <c r="V82" s="3"/>
      <c r="W82" s="3" t="s">
        <v>53</v>
      </c>
      <c r="X82" s="4">
        <v>2803</v>
      </c>
      <c r="Y82" s="3"/>
      <c r="Z82" s="4">
        <v>-1719</v>
      </c>
      <c r="AA82" s="4">
        <v>7324</v>
      </c>
      <c r="AB82" s="4">
        <v>1234</v>
      </c>
      <c r="AC82" s="4">
        <v>1000</v>
      </c>
      <c r="AD82" s="3"/>
    </row>
    <row r="83" spans="21:30" ht="14.1" customHeight="1" x14ac:dyDescent="0.15">
      <c r="U83" s="3"/>
      <c r="V83" s="3"/>
      <c r="W83" s="3" t="s">
        <v>54</v>
      </c>
      <c r="X83" s="4">
        <v>2665</v>
      </c>
      <c r="Y83" s="3"/>
      <c r="Z83" s="4">
        <v>-1928</v>
      </c>
      <c r="AA83" s="4">
        <v>7257</v>
      </c>
      <c r="AB83" s="4">
        <v>1174</v>
      </c>
      <c r="AC83" s="4">
        <v>1000</v>
      </c>
      <c r="AD83" s="3"/>
    </row>
    <row r="84" spans="21:30" ht="14.1" customHeight="1" x14ac:dyDescent="0.15">
      <c r="U84" s="3"/>
      <c r="V84" s="3"/>
      <c r="W84" s="3" t="s">
        <v>55</v>
      </c>
      <c r="X84" s="5" t="s">
        <v>94</v>
      </c>
      <c r="Y84" s="3"/>
      <c r="Z84" s="4">
        <v>-3613</v>
      </c>
      <c r="AA84" s="4">
        <v>5572</v>
      </c>
      <c r="AB84" s="5" t="s">
        <v>95</v>
      </c>
      <c r="AC84" s="4">
        <v>1000</v>
      </c>
      <c r="AD84" s="3"/>
    </row>
    <row r="85" spans="21:30" ht="14.1" customHeight="1" x14ac:dyDescent="0.15">
      <c r="U85" s="3"/>
      <c r="V85" s="3"/>
      <c r="W85" s="3" t="s">
        <v>56</v>
      </c>
      <c r="X85" s="4">
        <v>4273</v>
      </c>
      <c r="Y85" s="3"/>
      <c r="Z85" s="5" t="s">
        <v>96</v>
      </c>
      <c r="AA85" s="4">
        <v>8794</v>
      </c>
      <c r="AB85" s="4">
        <v>1882</v>
      </c>
      <c r="AC85" s="5" t="s">
        <v>36</v>
      </c>
      <c r="AD85" s="3"/>
    </row>
    <row r="86" spans="21:30" ht="14.1" customHeight="1" x14ac:dyDescent="0.15">
      <c r="U86" s="3"/>
      <c r="V86" s="3"/>
      <c r="W86" s="3" t="s">
        <v>57</v>
      </c>
      <c r="X86" s="4">
        <v>3163</v>
      </c>
      <c r="Y86" s="3"/>
      <c r="Z86" s="4">
        <v>-1430</v>
      </c>
      <c r="AA86" s="4">
        <v>7755</v>
      </c>
      <c r="AB86" s="4">
        <v>1393</v>
      </c>
      <c r="AC86" s="4">
        <v>1000</v>
      </c>
      <c r="AD86" s="3"/>
    </row>
    <row r="87" spans="21:30" ht="14.1" customHeight="1" x14ac:dyDescent="0.15">
      <c r="U87" s="3"/>
      <c r="V87" s="3"/>
      <c r="W87" s="3" t="s">
        <v>58</v>
      </c>
      <c r="X87" s="4">
        <v>3843</v>
      </c>
      <c r="Y87" s="3"/>
      <c r="Z87" s="5" t="s">
        <v>97</v>
      </c>
      <c r="AA87" s="4">
        <v>8436</v>
      </c>
      <c r="AB87" s="4">
        <v>1693</v>
      </c>
      <c r="AC87" s="5" t="s">
        <v>98</v>
      </c>
      <c r="AD87" s="3"/>
    </row>
    <row r="88" spans="21:30" ht="14.1" customHeight="1" x14ac:dyDescent="0.15">
      <c r="U88" s="3"/>
      <c r="V88" s="3"/>
      <c r="W88" s="3" t="s">
        <v>59</v>
      </c>
      <c r="X88" s="4">
        <v>4179</v>
      </c>
      <c r="Y88" s="3"/>
      <c r="Z88" s="5" t="s">
        <v>99</v>
      </c>
      <c r="AA88" s="4">
        <v>8700</v>
      </c>
      <c r="AB88" s="4">
        <v>1841</v>
      </c>
      <c r="AC88" s="5" t="s">
        <v>100</v>
      </c>
      <c r="AD88" s="3"/>
    </row>
    <row r="89" spans="21:30" ht="14.1" customHeight="1" x14ac:dyDescent="0.15">
      <c r="U89" s="3"/>
      <c r="V89" s="3"/>
      <c r="W89" s="3" t="s">
        <v>60</v>
      </c>
      <c r="X89" s="4">
        <v>6366</v>
      </c>
      <c r="Y89" s="3"/>
      <c r="Z89" s="4">
        <v>1774</v>
      </c>
      <c r="AA89" s="4">
        <v>10959</v>
      </c>
      <c r="AB89" s="4">
        <v>2804</v>
      </c>
      <c r="AC89" s="5" t="s">
        <v>41</v>
      </c>
      <c r="AD89" s="3" t="s">
        <v>42</v>
      </c>
    </row>
    <row r="90" spans="21:30" ht="14.1" customHeight="1" x14ac:dyDescent="0.15">
      <c r="U90" s="3" t="s">
        <v>39</v>
      </c>
      <c r="V90" s="3"/>
      <c r="W90" s="3" t="s">
        <v>40</v>
      </c>
      <c r="X90" s="4">
        <v>5458</v>
      </c>
      <c r="Y90" s="3"/>
      <c r="Z90" s="5" t="s">
        <v>101</v>
      </c>
      <c r="AA90" s="4">
        <v>10050</v>
      </c>
      <c r="AB90" s="4">
        <v>2404</v>
      </c>
      <c r="AC90" s="5" t="s">
        <v>102</v>
      </c>
      <c r="AD90" s="3" t="s">
        <v>47</v>
      </c>
    </row>
    <row r="91" spans="21:30" ht="14.1" customHeight="1" x14ac:dyDescent="0.15">
      <c r="U91" s="3"/>
      <c r="V91" s="3"/>
      <c r="W91" s="3" t="s">
        <v>43</v>
      </c>
      <c r="X91" s="4">
        <v>6443</v>
      </c>
      <c r="Y91" s="3"/>
      <c r="Z91" s="4">
        <v>1850</v>
      </c>
      <c r="AA91" s="4">
        <v>11035</v>
      </c>
      <c r="AB91" s="4">
        <v>2838</v>
      </c>
      <c r="AC91" s="5" t="s">
        <v>41</v>
      </c>
      <c r="AD91" s="3" t="s">
        <v>42</v>
      </c>
    </row>
    <row r="92" spans="21:30" ht="14.1" customHeight="1" x14ac:dyDescent="0.15">
      <c r="U92" s="3"/>
      <c r="V92" s="3"/>
      <c r="W92" s="3" t="s">
        <v>44</v>
      </c>
      <c r="X92" s="4">
        <v>6598</v>
      </c>
      <c r="Y92" s="3"/>
      <c r="Z92" s="4">
        <v>2077</v>
      </c>
      <c r="AA92" s="4">
        <v>11119</v>
      </c>
      <c r="AB92" s="4">
        <v>2906</v>
      </c>
      <c r="AC92" s="5" t="s">
        <v>41</v>
      </c>
      <c r="AD92" s="3" t="s">
        <v>42</v>
      </c>
    </row>
    <row r="93" spans="21:30" ht="14.1" customHeight="1" x14ac:dyDescent="0.15">
      <c r="U93" s="3"/>
      <c r="V93" s="3"/>
      <c r="W93" s="3" t="s">
        <v>45</v>
      </c>
      <c r="X93" s="4">
        <v>3281</v>
      </c>
      <c r="Y93" s="3"/>
      <c r="Z93" s="4">
        <v>-1311</v>
      </c>
      <c r="AA93" s="4">
        <v>7874</v>
      </c>
      <c r="AB93" s="4">
        <v>1445</v>
      </c>
      <c r="AC93" s="4">
        <v>1000</v>
      </c>
      <c r="AD93" s="3"/>
    </row>
    <row r="94" spans="21:30" ht="14.1" customHeight="1" x14ac:dyDescent="0.15">
      <c r="U94" s="3"/>
      <c r="V94" s="3"/>
      <c r="W94" s="3" t="s">
        <v>48</v>
      </c>
      <c r="X94" s="4">
        <v>4243</v>
      </c>
      <c r="Y94" s="3"/>
      <c r="Z94" s="5" t="s">
        <v>104</v>
      </c>
      <c r="AA94" s="4">
        <v>8835</v>
      </c>
      <c r="AB94" s="4">
        <v>1869</v>
      </c>
      <c r="AC94" s="5" t="s">
        <v>103</v>
      </c>
      <c r="AD94" s="3"/>
    </row>
    <row r="95" spans="21:30" ht="14.1" customHeight="1" x14ac:dyDescent="0.15">
      <c r="U95" s="3"/>
      <c r="V95" s="3"/>
      <c r="W95" s="3" t="s">
        <v>49</v>
      </c>
      <c r="X95" s="4">
        <v>3340</v>
      </c>
      <c r="Y95" s="3"/>
      <c r="Z95" s="4">
        <v>-1182</v>
      </c>
      <c r="AA95" s="4">
        <v>7861</v>
      </c>
      <c r="AB95" s="4">
        <v>1471</v>
      </c>
      <c r="AC95" s="4">
        <v>1000</v>
      </c>
      <c r="AD95" s="3"/>
    </row>
    <row r="96" spans="21:30" ht="14.1" customHeight="1" x14ac:dyDescent="0.15">
      <c r="U96" s="3"/>
      <c r="V96" s="3"/>
      <c r="W96" s="3" t="s">
        <v>50</v>
      </c>
      <c r="X96" s="4">
        <v>2174</v>
      </c>
      <c r="Y96" s="3"/>
      <c r="Z96" s="4">
        <v>-2418</v>
      </c>
      <c r="AA96" s="4">
        <v>6766</v>
      </c>
      <c r="AB96" s="5" t="s">
        <v>105</v>
      </c>
      <c r="AC96" s="4">
        <v>1000</v>
      </c>
      <c r="AD96" s="3"/>
    </row>
    <row r="97" spans="21:30" ht="14.1" customHeight="1" x14ac:dyDescent="0.15">
      <c r="U97" s="3"/>
      <c r="V97" s="3"/>
      <c r="W97" s="3" t="s">
        <v>53</v>
      </c>
      <c r="X97" s="4">
        <v>3997</v>
      </c>
      <c r="Y97" s="3"/>
      <c r="Z97" s="5" t="s">
        <v>106</v>
      </c>
      <c r="AA97" s="4">
        <v>8589</v>
      </c>
      <c r="AB97" s="4">
        <v>1760</v>
      </c>
      <c r="AC97" s="5" t="s">
        <v>107</v>
      </c>
      <c r="AD97" s="3"/>
    </row>
    <row r="98" spans="21:30" ht="14.1" customHeight="1" x14ac:dyDescent="0.15">
      <c r="U98" s="3"/>
      <c r="V98" s="3"/>
      <c r="W98" s="3" t="s">
        <v>54</v>
      </c>
      <c r="X98" s="4">
        <v>3859</v>
      </c>
      <c r="Y98" s="3"/>
      <c r="Z98" s="5" t="s">
        <v>108</v>
      </c>
      <c r="AA98" s="4">
        <v>8380</v>
      </c>
      <c r="AB98" s="4">
        <v>1700</v>
      </c>
      <c r="AC98" s="5" t="s">
        <v>109</v>
      </c>
      <c r="AD98" s="3"/>
    </row>
    <row r="99" spans="21:30" ht="14.1" customHeight="1" x14ac:dyDescent="0.15">
      <c r="U99" s="3"/>
      <c r="V99" s="3"/>
      <c r="W99" s="3" t="s">
        <v>55</v>
      </c>
      <c r="X99" s="4">
        <v>2174</v>
      </c>
      <c r="Y99" s="3"/>
      <c r="Z99" s="4">
        <v>-2418</v>
      </c>
      <c r="AA99" s="4">
        <v>6766</v>
      </c>
      <c r="AB99" s="5" t="s">
        <v>105</v>
      </c>
      <c r="AC99" s="4">
        <v>1000</v>
      </c>
      <c r="AD99" s="3"/>
    </row>
    <row r="100" spans="21:30" ht="14.1" customHeight="1" x14ac:dyDescent="0.15">
      <c r="U100" s="3"/>
      <c r="V100" s="3"/>
      <c r="W100" s="3" t="s">
        <v>56</v>
      </c>
      <c r="X100" s="4">
        <v>5467</v>
      </c>
      <c r="Y100" s="3"/>
      <c r="Z100" s="5" t="s">
        <v>72</v>
      </c>
      <c r="AA100" s="4">
        <v>10059</v>
      </c>
      <c r="AB100" s="4">
        <v>2408</v>
      </c>
      <c r="AC100" s="5" t="s">
        <v>102</v>
      </c>
      <c r="AD100" s="3" t="s">
        <v>47</v>
      </c>
    </row>
    <row r="101" spans="21:30" ht="14.1" customHeight="1" x14ac:dyDescent="0.15">
      <c r="U101" s="3"/>
      <c r="V101" s="3"/>
      <c r="W101" s="3" t="s">
        <v>57</v>
      </c>
      <c r="X101" s="4">
        <v>4357</v>
      </c>
      <c r="Y101" s="3"/>
      <c r="Z101" s="5" t="s">
        <v>110</v>
      </c>
      <c r="AA101" s="4">
        <v>8878</v>
      </c>
      <c r="AB101" s="4">
        <v>1919</v>
      </c>
      <c r="AC101" s="5" t="s">
        <v>111</v>
      </c>
      <c r="AD101" s="3"/>
    </row>
    <row r="102" spans="21:30" ht="14.1" customHeight="1" x14ac:dyDescent="0.15">
      <c r="U102" s="3"/>
      <c r="V102" s="3"/>
      <c r="W102" s="3" t="s">
        <v>58</v>
      </c>
      <c r="X102" s="4">
        <v>5038</v>
      </c>
      <c r="Y102" s="3"/>
      <c r="Z102" s="5" t="s">
        <v>112</v>
      </c>
      <c r="AA102" s="4">
        <v>9630</v>
      </c>
      <c r="AB102" s="4">
        <v>2219</v>
      </c>
      <c r="AC102" s="5" t="s">
        <v>113</v>
      </c>
      <c r="AD102" s="3" t="s">
        <v>76</v>
      </c>
    </row>
    <row r="103" spans="21:30" ht="14.1" customHeight="1" x14ac:dyDescent="0.15">
      <c r="U103" s="3"/>
      <c r="V103" s="3"/>
      <c r="W103" s="3" t="s">
        <v>59</v>
      </c>
      <c r="X103" s="4">
        <v>5373</v>
      </c>
      <c r="Y103" s="3"/>
      <c r="Z103" s="5" t="s">
        <v>114</v>
      </c>
      <c r="AA103" s="4">
        <v>9966</v>
      </c>
      <c r="AB103" s="4">
        <v>2367</v>
      </c>
      <c r="AC103" s="5" t="s">
        <v>91</v>
      </c>
      <c r="AD103" s="3" t="s">
        <v>47</v>
      </c>
    </row>
    <row r="104" spans="21:30" ht="14.1" customHeight="1" x14ac:dyDescent="0.15">
      <c r="U104" s="3"/>
      <c r="V104" s="3"/>
      <c r="W104" s="3" t="s">
        <v>60</v>
      </c>
      <c r="X104" s="4">
        <v>7560</v>
      </c>
      <c r="Y104" s="3"/>
      <c r="Z104" s="4">
        <v>3039</v>
      </c>
      <c r="AA104" s="4">
        <v>12082</v>
      </c>
      <c r="AB104" s="4">
        <v>3330</v>
      </c>
      <c r="AC104" s="5" t="s">
        <v>41</v>
      </c>
      <c r="AD104" s="3" t="s">
        <v>42</v>
      </c>
    </row>
    <row r="105" spans="21:30" ht="14.1" customHeight="1" x14ac:dyDescent="0.15">
      <c r="U105" s="3" t="s">
        <v>40</v>
      </c>
      <c r="V105" s="3"/>
      <c r="W105" s="3" t="s">
        <v>43</v>
      </c>
      <c r="X105" s="5" t="s">
        <v>115</v>
      </c>
      <c r="Y105" s="3"/>
      <c r="Z105" s="4">
        <v>-3608</v>
      </c>
      <c r="AA105" s="4">
        <v>5577</v>
      </c>
      <c r="AB105" s="5" t="s">
        <v>116</v>
      </c>
      <c r="AC105" s="4">
        <v>1000</v>
      </c>
      <c r="AD105" s="3"/>
    </row>
    <row r="106" spans="21:30" ht="14.1" customHeight="1" x14ac:dyDescent="0.15">
      <c r="U106" s="3"/>
      <c r="V106" s="3"/>
      <c r="W106" s="3" t="s">
        <v>44</v>
      </c>
      <c r="X106" s="4">
        <v>1140</v>
      </c>
      <c r="Y106" s="3"/>
      <c r="Z106" s="4">
        <v>-3452</v>
      </c>
      <c r="AA106" s="4">
        <v>5733</v>
      </c>
      <c r="AB106" s="5" t="s">
        <v>117</v>
      </c>
      <c r="AC106" s="4">
        <v>1000</v>
      </c>
      <c r="AD106" s="3"/>
    </row>
    <row r="107" spans="21:30" ht="14.1" customHeight="1" x14ac:dyDescent="0.15">
      <c r="U107" s="3"/>
      <c r="V107" s="3"/>
      <c r="W107" s="3" t="s">
        <v>45</v>
      </c>
      <c r="X107" s="4">
        <v>-2176</v>
      </c>
      <c r="Y107" s="3"/>
      <c r="Z107" s="4">
        <v>-6698</v>
      </c>
      <c r="AA107" s="4">
        <v>2345</v>
      </c>
      <c r="AB107" s="5" t="s">
        <v>118</v>
      </c>
      <c r="AC107" s="4">
        <v>1000</v>
      </c>
      <c r="AD107" s="3"/>
    </row>
    <row r="108" spans="21:30" ht="14.1" customHeight="1" x14ac:dyDescent="0.15">
      <c r="U108" s="3"/>
      <c r="V108" s="3"/>
      <c r="W108" s="3" t="s">
        <v>48</v>
      </c>
      <c r="X108" s="4">
        <v>-1215</v>
      </c>
      <c r="Y108" s="3"/>
      <c r="Z108" s="4">
        <v>-5807</v>
      </c>
      <c r="AA108" s="4">
        <v>3378</v>
      </c>
      <c r="AB108" s="5" t="s">
        <v>119</v>
      </c>
      <c r="AC108" s="4">
        <v>1000</v>
      </c>
      <c r="AD108" s="3"/>
    </row>
    <row r="109" spans="21:30" ht="14.1" customHeight="1" x14ac:dyDescent="0.15">
      <c r="U109" s="3"/>
      <c r="V109" s="3"/>
      <c r="W109" s="3" t="s">
        <v>49</v>
      </c>
      <c r="X109" s="4">
        <v>-2118</v>
      </c>
      <c r="Y109" s="3"/>
      <c r="Z109" s="4">
        <v>-6711</v>
      </c>
      <c r="AA109" s="4">
        <v>2474</v>
      </c>
      <c r="AB109" s="5" t="s">
        <v>120</v>
      </c>
      <c r="AC109" s="4">
        <v>1000</v>
      </c>
      <c r="AD109" s="3"/>
    </row>
    <row r="110" spans="21:30" ht="14.1" customHeight="1" x14ac:dyDescent="0.15">
      <c r="U110" s="3"/>
      <c r="V110" s="3"/>
      <c r="W110" s="3" t="s">
        <v>50</v>
      </c>
      <c r="X110" s="4">
        <v>-3284</v>
      </c>
      <c r="Y110" s="3"/>
      <c r="Z110" s="4">
        <v>-7805</v>
      </c>
      <c r="AA110" s="4">
        <v>1238</v>
      </c>
      <c r="AB110" s="4">
        <v>-1446</v>
      </c>
      <c r="AC110" s="4">
        <v>1000</v>
      </c>
      <c r="AD110" s="3"/>
    </row>
    <row r="111" spans="21:30" ht="14.1" customHeight="1" x14ac:dyDescent="0.15">
      <c r="U111" s="3"/>
      <c r="V111" s="3"/>
      <c r="W111" s="3" t="s">
        <v>53</v>
      </c>
      <c r="X111" s="4">
        <v>-1461</v>
      </c>
      <c r="Y111" s="3"/>
      <c r="Z111" s="4">
        <v>-6053</v>
      </c>
      <c r="AA111" s="4">
        <v>3132</v>
      </c>
      <c r="AB111" s="5" t="s">
        <v>121</v>
      </c>
      <c r="AC111" s="4">
        <v>1000</v>
      </c>
      <c r="AD111" s="3"/>
    </row>
    <row r="112" spans="21:30" ht="14.1" customHeight="1" x14ac:dyDescent="0.15">
      <c r="U112" s="3"/>
      <c r="V112" s="3"/>
      <c r="W112" s="3" t="s">
        <v>54</v>
      </c>
      <c r="X112" s="4">
        <v>-1599</v>
      </c>
      <c r="Y112" s="3"/>
      <c r="Z112" s="4">
        <v>-6191</v>
      </c>
      <c r="AA112" s="4">
        <v>2994</v>
      </c>
      <c r="AB112" s="5" t="s">
        <v>122</v>
      </c>
      <c r="AC112" s="4">
        <v>1000</v>
      </c>
      <c r="AD112" s="3"/>
    </row>
    <row r="113" spans="21:30" ht="14.1" customHeight="1" x14ac:dyDescent="0.15">
      <c r="U113" s="3"/>
      <c r="V113" s="3"/>
      <c r="W113" s="3" t="s">
        <v>55</v>
      </c>
      <c r="X113" s="4">
        <v>-3284</v>
      </c>
      <c r="Y113" s="3"/>
      <c r="Z113" s="4">
        <v>-7805</v>
      </c>
      <c r="AA113" s="4">
        <v>1238</v>
      </c>
      <c r="AB113" s="4">
        <v>-1446</v>
      </c>
      <c r="AC113" s="4">
        <v>1000</v>
      </c>
      <c r="AD113" s="3"/>
    </row>
    <row r="114" spans="21:30" ht="14.1" customHeight="1" x14ac:dyDescent="0.15">
      <c r="U114" s="3"/>
      <c r="V114" s="3"/>
      <c r="W114" s="3" t="s">
        <v>56</v>
      </c>
      <c r="X114" s="5" t="s">
        <v>123</v>
      </c>
      <c r="Y114" s="3"/>
      <c r="Z114" s="4">
        <v>-4583</v>
      </c>
      <c r="AA114" s="4">
        <v>4602</v>
      </c>
      <c r="AB114" s="5" t="s">
        <v>91</v>
      </c>
      <c r="AC114" s="4">
        <v>1000</v>
      </c>
      <c r="AD114" s="3"/>
    </row>
    <row r="115" spans="21:30" ht="14.1" customHeight="1" x14ac:dyDescent="0.15">
      <c r="U115" s="3"/>
      <c r="V115" s="3"/>
      <c r="W115" s="3" t="s">
        <v>57</v>
      </c>
      <c r="X115" s="4">
        <v>-1101</v>
      </c>
      <c r="Y115" s="3"/>
      <c r="Z115" s="4">
        <v>-5693</v>
      </c>
      <c r="AA115" s="4">
        <v>3492</v>
      </c>
      <c r="AB115" s="5" t="s">
        <v>124</v>
      </c>
      <c r="AC115" s="4">
        <v>1000</v>
      </c>
      <c r="AD115" s="3"/>
    </row>
    <row r="116" spans="21:30" ht="14.1" customHeight="1" x14ac:dyDescent="0.15">
      <c r="U116" s="3"/>
      <c r="V116" s="3"/>
      <c r="W116" s="3" t="s">
        <v>58</v>
      </c>
      <c r="X116" s="5" t="s">
        <v>125</v>
      </c>
      <c r="Y116" s="3"/>
      <c r="Z116" s="4">
        <v>-4941</v>
      </c>
      <c r="AA116" s="4">
        <v>4101</v>
      </c>
      <c r="AB116" s="5" t="s">
        <v>126</v>
      </c>
      <c r="AC116" s="4">
        <v>1000</v>
      </c>
      <c r="AD116" s="3"/>
    </row>
    <row r="117" spans="21:30" ht="14.1" customHeight="1" x14ac:dyDescent="0.15">
      <c r="U117" s="3"/>
      <c r="V117" s="3"/>
      <c r="W117" s="3" t="s">
        <v>59</v>
      </c>
      <c r="X117" s="5" t="s">
        <v>127</v>
      </c>
      <c r="Y117" s="3"/>
      <c r="Z117" s="4">
        <v>-4677</v>
      </c>
      <c r="AA117" s="4">
        <v>4508</v>
      </c>
      <c r="AB117" s="5" t="s">
        <v>128</v>
      </c>
      <c r="AC117" s="4">
        <v>1000</v>
      </c>
      <c r="AD117" s="3"/>
    </row>
    <row r="118" spans="21:30" ht="14.1" customHeight="1" x14ac:dyDescent="0.15">
      <c r="U118" s="3"/>
      <c r="V118" s="3"/>
      <c r="W118" s="3" t="s">
        <v>60</v>
      </c>
      <c r="X118" s="4">
        <v>2103</v>
      </c>
      <c r="Y118" s="3"/>
      <c r="Z118" s="4">
        <v>-2490</v>
      </c>
      <c r="AA118" s="4">
        <v>6695</v>
      </c>
      <c r="AB118" s="5" t="s">
        <v>129</v>
      </c>
      <c r="AC118" s="4">
        <v>1000</v>
      </c>
      <c r="AD118" s="3"/>
    </row>
    <row r="119" spans="21:30" ht="14.1" customHeight="1" x14ac:dyDescent="0.15">
      <c r="U119" s="3" t="s">
        <v>43</v>
      </c>
      <c r="V119" s="3"/>
      <c r="W119" s="3" t="s">
        <v>44</v>
      </c>
      <c r="X119" s="5" t="s">
        <v>130</v>
      </c>
      <c r="Y119" s="3"/>
      <c r="Z119" s="4">
        <v>-4437</v>
      </c>
      <c r="AA119" s="4">
        <v>4748</v>
      </c>
      <c r="AB119" s="5" t="s">
        <v>132</v>
      </c>
      <c r="AC119" s="4">
        <v>1000</v>
      </c>
      <c r="AD119" s="3"/>
    </row>
    <row r="120" spans="21:30" ht="14.1" customHeight="1" x14ac:dyDescent="0.15">
      <c r="U120" s="3"/>
      <c r="V120" s="3"/>
      <c r="W120" s="3" t="s">
        <v>45</v>
      </c>
      <c r="X120" s="4">
        <v>-3161</v>
      </c>
      <c r="Y120" s="3"/>
      <c r="Z120" s="4">
        <v>-7754</v>
      </c>
      <c r="AA120" s="4">
        <v>1431</v>
      </c>
      <c r="AB120" s="4">
        <v>-1392</v>
      </c>
      <c r="AC120" s="4">
        <v>1000</v>
      </c>
      <c r="AD120" s="3"/>
    </row>
    <row r="121" spans="21:30" ht="14.1" customHeight="1" x14ac:dyDescent="0.15">
      <c r="U121" s="3"/>
      <c r="V121" s="3"/>
      <c r="W121" s="3" t="s">
        <v>48</v>
      </c>
      <c r="X121" s="4">
        <v>-2200</v>
      </c>
      <c r="Y121" s="3"/>
      <c r="Z121" s="4">
        <v>-6721</v>
      </c>
      <c r="AA121" s="4">
        <v>2322</v>
      </c>
      <c r="AB121" s="5" t="s">
        <v>133</v>
      </c>
      <c r="AC121" s="4">
        <v>1000</v>
      </c>
      <c r="AD121" s="3"/>
    </row>
    <row r="122" spans="21:30" ht="14.1" customHeight="1" x14ac:dyDescent="0.15">
      <c r="U122" s="3"/>
      <c r="V122" s="3"/>
      <c r="W122" s="3" t="s">
        <v>49</v>
      </c>
      <c r="X122" s="4">
        <v>-3103</v>
      </c>
      <c r="Y122" s="3"/>
      <c r="Z122" s="4">
        <v>-7695</v>
      </c>
      <c r="AA122" s="4">
        <v>1490</v>
      </c>
      <c r="AB122" s="4">
        <v>-1367</v>
      </c>
      <c r="AC122" s="4">
        <v>1000</v>
      </c>
      <c r="AD122" s="3"/>
    </row>
    <row r="123" spans="21:30" ht="14.1" customHeight="1" x14ac:dyDescent="0.15">
      <c r="U123" s="3"/>
      <c r="V123" s="3"/>
      <c r="W123" s="3" t="s">
        <v>50</v>
      </c>
      <c r="X123" s="4">
        <v>-4269</v>
      </c>
      <c r="Y123" s="3"/>
      <c r="Z123" s="4">
        <v>-8861</v>
      </c>
      <c r="AA123" s="5" t="s">
        <v>134</v>
      </c>
      <c r="AB123" s="4">
        <v>-1880</v>
      </c>
      <c r="AC123" s="5" t="s">
        <v>131</v>
      </c>
      <c r="AD123" s="3"/>
    </row>
    <row r="124" spans="21:30" ht="14.1" customHeight="1" x14ac:dyDescent="0.15">
      <c r="U124" s="3"/>
      <c r="V124" s="3"/>
      <c r="W124" s="3" t="s">
        <v>53</v>
      </c>
      <c r="X124" s="4">
        <v>-2446</v>
      </c>
      <c r="Y124" s="3"/>
      <c r="Z124" s="4">
        <v>-6967</v>
      </c>
      <c r="AA124" s="4">
        <v>2075</v>
      </c>
      <c r="AB124" s="4">
        <v>-1077</v>
      </c>
      <c r="AC124" s="4">
        <v>1000</v>
      </c>
      <c r="AD124" s="3"/>
    </row>
    <row r="125" spans="21:30" ht="14.1" customHeight="1" x14ac:dyDescent="0.15">
      <c r="U125" s="3"/>
      <c r="V125" s="3"/>
      <c r="W125" s="3" t="s">
        <v>54</v>
      </c>
      <c r="X125" s="4">
        <v>-2584</v>
      </c>
      <c r="Y125" s="3"/>
      <c r="Z125" s="4">
        <v>-7176</v>
      </c>
      <c r="AA125" s="4">
        <v>2009</v>
      </c>
      <c r="AB125" s="4">
        <v>-1138</v>
      </c>
      <c r="AC125" s="4">
        <v>1000</v>
      </c>
      <c r="AD125" s="3"/>
    </row>
    <row r="126" spans="21:30" ht="14.1" customHeight="1" x14ac:dyDescent="0.15">
      <c r="U126" s="3"/>
      <c r="V126" s="3"/>
      <c r="W126" s="3" t="s">
        <v>55</v>
      </c>
      <c r="X126" s="4">
        <v>-4269</v>
      </c>
      <c r="Y126" s="3"/>
      <c r="Z126" s="4">
        <v>-8861</v>
      </c>
      <c r="AA126" s="5" t="s">
        <v>134</v>
      </c>
      <c r="AB126" s="4">
        <v>-1880</v>
      </c>
      <c r="AC126" s="5" t="s">
        <v>131</v>
      </c>
      <c r="AD126" s="3"/>
    </row>
    <row r="127" spans="21:30" ht="14.1" customHeight="1" x14ac:dyDescent="0.15">
      <c r="U127" s="3"/>
      <c r="V127" s="3"/>
      <c r="W127" s="3" t="s">
        <v>56</v>
      </c>
      <c r="X127" s="5" t="s">
        <v>135</v>
      </c>
      <c r="Y127" s="3"/>
      <c r="Z127" s="4">
        <v>-5497</v>
      </c>
      <c r="AA127" s="4">
        <v>3546</v>
      </c>
      <c r="AB127" s="5" t="s">
        <v>136</v>
      </c>
      <c r="AC127" s="4">
        <v>1000</v>
      </c>
      <c r="AD127" s="3"/>
    </row>
    <row r="128" spans="21:30" ht="14.1" customHeight="1" x14ac:dyDescent="0.15">
      <c r="U128" s="3"/>
      <c r="V128" s="3"/>
      <c r="W128" s="3" t="s">
        <v>57</v>
      </c>
      <c r="X128" s="4">
        <v>-2086</v>
      </c>
      <c r="Y128" s="3"/>
      <c r="Z128" s="4">
        <v>-6678</v>
      </c>
      <c r="AA128" s="4">
        <v>2507</v>
      </c>
      <c r="AB128" s="5" t="s">
        <v>137</v>
      </c>
      <c r="AC128" s="4">
        <v>1000</v>
      </c>
      <c r="AD128" s="3"/>
    </row>
    <row r="129" spans="21:30" ht="14.1" customHeight="1" x14ac:dyDescent="0.15">
      <c r="U129" s="3"/>
      <c r="V129" s="3"/>
      <c r="W129" s="3" t="s">
        <v>58</v>
      </c>
      <c r="X129" s="4">
        <v>-1405</v>
      </c>
      <c r="Y129" s="3"/>
      <c r="Z129" s="4">
        <v>-5998</v>
      </c>
      <c r="AA129" s="4">
        <v>3187</v>
      </c>
      <c r="AB129" s="5" t="s">
        <v>138</v>
      </c>
      <c r="AC129" s="4">
        <v>1000</v>
      </c>
      <c r="AD129" s="3"/>
    </row>
    <row r="130" spans="21:30" ht="14.1" customHeight="1" x14ac:dyDescent="0.15">
      <c r="U130" s="3"/>
      <c r="V130" s="3"/>
      <c r="W130" s="3" t="s">
        <v>59</v>
      </c>
      <c r="X130" s="4">
        <v>-1069</v>
      </c>
      <c r="Y130" s="3"/>
      <c r="Z130" s="4">
        <v>-5591</v>
      </c>
      <c r="AA130" s="4">
        <v>3452</v>
      </c>
      <c r="AB130" s="5" t="s">
        <v>139</v>
      </c>
      <c r="AC130" s="4">
        <v>1000</v>
      </c>
      <c r="AD130" s="3"/>
    </row>
    <row r="131" spans="21:30" ht="14.1" customHeight="1" x14ac:dyDescent="0.15">
      <c r="U131" s="3"/>
      <c r="V131" s="3"/>
      <c r="W131" s="3" t="s">
        <v>60</v>
      </c>
      <c r="X131" s="4">
        <v>1118</v>
      </c>
      <c r="Y131" s="3"/>
      <c r="Z131" s="4">
        <v>-3475</v>
      </c>
      <c r="AA131" s="4">
        <v>5710</v>
      </c>
      <c r="AB131" s="5" t="s">
        <v>141</v>
      </c>
      <c r="AC131" s="4">
        <v>1000</v>
      </c>
      <c r="AD131" s="3"/>
    </row>
    <row r="132" spans="21:30" ht="14.1" customHeight="1" x14ac:dyDescent="0.15">
      <c r="U132" s="3" t="s">
        <v>44</v>
      </c>
      <c r="V132" s="3"/>
      <c r="W132" s="3" t="s">
        <v>45</v>
      </c>
      <c r="X132" s="4">
        <v>-3317</v>
      </c>
      <c r="Y132" s="3"/>
      <c r="Z132" s="4">
        <v>-7909</v>
      </c>
      <c r="AA132" s="4">
        <v>1276</v>
      </c>
      <c r="AB132" s="4">
        <v>-1461</v>
      </c>
      <c r="AC132" s="4">
        <v>1000</v>
      </c>
      <c r="AD132" s="3"/>
    </row>
    <row r="133" spans="21:30" ht="14.1" customHeight="1" x14ac:dyDescent="0.15">
      <c r="U133" s="3"/>
      <c r="V133" s="3"/>
      <c r="W133" s="3" t="s">
        <v>48</v>
      </c>
      <c r="X133" s="4">
        <v>-2355</v>
      </c>
      <c r="Y133" s="3"/>
      <c r="Z133" s="4">
        <v>-6947</v>
      </c>
      <c r="AA133" s="4">
        <v>2238</v>
      </c>
      <c r="AB133" s="4">
        <v>-1037</v>
      </c>
      <c r="AC133" s="4">
        <v>1000</v>
      </c>
      <c r="AD133" s="3"/>
    </row>
    <row r="134" spans="21:30" ht="14.1" customHeight="1" x14ac:dyDescent="0.15">
      <c r="U134" s="3"/>
      <c r="V134" s="3"/>
      <c r="W134" s="3" t="s">
        <v>49</v>
      </c>
      <c r="X134" s="4">
        <v>-3258</v>
      </c>
      <c r="Y134" s="3"/>
      <c r="Z134" s="4">
        <v>-7779</v>
      </c>
      <c r="AA134" s="4">
        <v>1263</v>
      </c>
      <c r="AB134" s="4">
        <v>-1435</v>
      </c>
      <c r="AC134" s="4">
        <v>1000</v>
      </c>
      <c r="AD134" s="3"/>
    </row>
    <row r="135" spans="21:30" ht="14.1" customHeight="1" x14ac:dyDescent="0.15">
      <c r="U135" s="3"/>
      <c r="V135" s="3"/>
      <c r="W135" s="3" t="s">
        <v>50</v>
      </c>
      <c r="X135" s="4">
        <v>-4424</v>
      </c>
      <c r="Y135" s="3"/>
      <c r="Z135" s="4">
        <v>-9016</v>
      </c>
      <c r="AA135" s="5" t="s">
        <v>142</v>
      </c>
      <c r="AB135" s="4">
        <v>-1948</v>
      </c>
      <c r="AC135" s="5" t="s">
        <v>143</v>
      </c>
      <c r="AD135" s="3"/>
    </row>
    <row r="136" spans="21:30" ht="14.1" customHeight="1" x14ac:dyDescent="0.15">
      <c r="U136" s="3"/>
      <c r="V136" s="3"/>
      <c r="W136" s="3" t="s">
        <v>53</v>
      </c>
      <c r="X136" s="4">
        <v>-2601</v>
      </c>
      <c r="Y136" s="3"/>
      <c r="Z136" s="4">
        <v>-7194</v>
      </c>
      <c r="AA136" s="4">
        <v>1991</v>
      </c>
      <c r="AB136" s="4">
        <v>-1146</v>
      </c>
      <c r="AC136" s="4">
        <v>1000</v>
      </c>
      <c r="AD136" s="3"/>
    </row>
    <row r="137" spans="21:30" ht="14.1" customHeight="1" x14ac:dyDescent="0.15">
      <c r="U137" s="3"/>
      <c r="V137" s="3"/>
      <c r="W137" s="3" t="s">
        <v>54</v>
      </c>
      <c r="X137" s="4">
        <v>-2739</v>
      </c>
      <c r="Y137" s="3"/>
      <c r="Z137" s="4">
        <v>-7260</v>
      </c>
      <c r="AA137" s="4">
        <v>1782</v>
      </c>
      <c r="AB137" s="4">
        <v>-1206</v>
      </c>
      <c r="AC137" s="4">
        <v>1000</v>
      </c>
      <c r="AD137" s="3"/>
    </row>
    <row r="138" spans="21:30" ht="14.1" customHeight="1" x14ac:dyDescent="0.15">
      <c r="U138" s="3"/>
      <c r="V138" s="3"/>
      <c r="W138" s="3" t="s">
        <v>55</v>
      </c>
      <c r="X138" s="4">
        <v>-4424</v>
      </c>
      <c r="Y138" s="3"/>
      <c r="Z138" s="4">
        <v>-9016</v>
      </c>
      <c r="AA138" s="5" t="s">
        <v>142</v>
      </c>
      <c r="AB138" s="4">
        <v>-1948</v>
      </c>
      <c r="AC138" s="5" t="s">
        <v>143</v>
      </c>
      <c r="AD138" s="3"/>
    </row>
    <row r="139" spans="21:30" ht="14.1" customHeight="1" x14ac:dyDescent="0.15">
      <c r="U139" s="3"/>
      <c r="V139" s="3"/>
      <c r="W139" s="3" t="s">
        <v>56</v>
      </c>
      <c r="X139" s="4">
        <v>-1131</v>
      </c>
      <c r="Y139" s="3"/>
      <c r="Z139" s="4">
        <v>-5723</v>
      </c>
      <c r="AA139" s="4">
        <v>3462</v>
      </c>
      <c r="AB139" s="5" t="s">
        <v>144</v>
      </c>
      <c r="AC139" s="4">
        <v>1000</v>
      </c>
      <c r="AD139" s="3"/>
    </row>
    <row r="140" spans="21:30" ht="14.1" customHeight="1" x14ac:dyDescent="0.15">
      <c r="U140" s="3"/>
      <c r="V140" s="3"/>
      <c r="W140" s="3" t="s">
        <v>57</v>
      </c>
      <c r="X140" s="4">
        <v>-2241</v>
      </c>
      <c r="Y140" s="3"/>
      <c r="Z140" s="4">
        <v>-6762</v>
      </c>
      <c r="AA140" s="4">
        <v>2280</v>
      </c>
      <c r="AB140" s="5" t="s">
        <v>145</v>
      </c>
      <c r="AC140" s="4">
        <v>1000</v>
      </c>
      <c r="AD140" s="3"/>
    </row>
    <row r="141" spans="21:30" ht="14.1" customHeight="1" x14ac:dyDescent="0.15">
      <c r="U141" s="3"/>
      <c r="V141" s="3"/>
      <c r="W141" s="3" t="s">
        <v>58</v>
      </c>
      <c r="X141" s="4">
        <v>-1560</v>
      </c>
      <c r="Y141" s="3"/>
      <c r="Z141" s="4">
        <v>-6153</v>
      </c>
      <c r="AA141" s="4">
        <v>3032</v>
      </c>
      <c r="AB141" s="5" t="s">
        <v>146</v>
      </c>
      <c r="AC141" s="4">
        <v>1000</v>
      </c>
      <c r="AD141" s="3"/>
    </row>
    <row r="142" spans="21:30" ht="14.1" customHeight="1" x14ac:dyDescent="0.15">
      <c r="U142" s="3"/>
      <c r="V142" s="3"/>
      <c r="W142" s="3" t="s">
        <v>59</v>
      </c>
      <c r="X142" s="4">
        <v>-1225</v>
      </c>
      <c r="Y142" s="3"/>
      <c r="Z142" s="4">
        <v>-5817</v>
      </c>
      <c r="AA142" s="4">
        <v>3368</v>
      </c>
      <c r="AB142" s="5" t="s">
        <v>147</v>
      </c>
      <c r="AC142" s="4">
        <v>1000</v>
      </c>
      <c r="AD142" s="3"/>
    </row>
    <row r="143" spans="21:30" ht="14.1" customHeight="1" x14ac:dyDescent="0.15">
      <c r="U143" s="3"/>
      <c r="V143" s="3"/>
      <c r="W143" s="3" t="s">
        <v>60</v>
      </c>
      <c r="X143" s="5" t="s">
        <v>148</v>
      </c>
      <c r="Y143" s="3"/>
      <c r="Z143" s="4">
        <v>-3558</v>
      </c>
      <c r="AA143" s="4">
        <v>5484</v>
      </c>
      <c r="AB143" s="5" t="s">
        <v>149</v>
      </c>
      <c r="AC143" s="4">
        <v>1000</v>
      </c>
      <c r="AD143" s="3"/>
    </row>
    <row r="144" spans="21:30" ht="14.1" customHeight="1" x14ac:dyDescent="0.15">
      <c r="U144" s="3" t="s">
        <v>45</v>
      </c>
      <c r="V144" s="3"/>
      <c r="W144" s="3" t="s">
        <v>48</v>
      </c>
      <c r="X144" s="5" t="s">
        <v>150</v>
      </c>
      <c r="Y144" s="3"/>
      <c r="Z144" s="4">
        <v>-3631</v>
      </c>
      <c r="AA144" s="4">
        <v>5554</v>
      </c>
      <c r="AB144" s="5" t="s">
        <v>149</v>
      </c>
      <c r="AC144" s="4">
        <v>1000</v>
      </c>
      <c r="AD144" s="3"/>
    </row>
    <row r="145" spans="21:30" ht="14.1" customHeight="1" x14ac:dyDescent="0.15">
      <c r="U145" s="3"/>
      <c r="V145" s="3"/>
      <c r="W145" s="3" t="s">
        <v>49</v>
      </c>
      <c r="X145" s="5" t="s">
        <v>52</v>
      </c>
      <c r="Y145" s="3"/>
      <c r="Z145" s="4">
        <v>-4534</v>
      </c>
      <c r="AA145" s="4">
        <v>4651</v>
      </c>
      <c r="AB145" s="5" t="s">
        <v>151</v>
      </c>
      <c r="AC145" s="4">
        <v>1000</v>
      </c>
      <c r="AD145" s="3"/>
    </row>
    <row r="146" spans="21:30" ht="14.1" customHeight="1" x14ac:dyDescent="0.15">
      <c r="U146" s="3"/>
      <c r="V146" s="3"/>
      <c r="W146" s="3" t="s">
        <v>50</v>
      </c>
      <c r="X146" s="4">
        <v>-1107</v>
      </c>
      <c r="Y146" s="3"/>
      <c r="Z146" s="4">
        <v>-5628</v>
      </c>
      <c r="AA146" s="4">
        <v>3414</v>
      </c>
      <c r="AB146" s="5" t="s">
        <v>152</v>
      </c>
      <c r="AC146" s="4">
        <v>1000</v>
      </c>
      <c r="AD146" s="3"/>
    </row>
    <row r="147" spans="21:30" ht="14.1" customHeight="1" x14ac:dyDescent="0.15">
      <c r="U147" s="3"/>
      <c r="V147" s="3"/>
      <c r="W147" s="3" t="s">
        <v>53</v>
      </c>
      <c r="X147" s="5" t="s">
        <v>153</v>
      </c>
      <c r="Y147" s="3"/>
      <c r="Z147" s="4">
        <v>-3877</v>
      </c>
      <c r="AA147" s="4">
        <v>5308</v>
      </c>
      <c r="AB147" s="5" t="s">
        <v>154</v>
      </c>
      <c r="AC147" s="4">
        <v>1000</v>
      </c>
      <c r="AD147" s="3"/>
    </row>
    <row r="148" spans="21:30" ht="14.1" customHeight="1" x14ac:dyDescent="0.15">
      <c r="U148" s="3"/>
      <c r="V148" s="3"/>
      <c r="W148" s="3" t="s">
        <v>54</v>
      </c>
      <c r="X148" s="5" t="s">
        <v>155</v>
      </c>
      <c r="Y148" s="3"/>
      <c r="Z148" s="4">
        <v>-4015</v>
      </c>
      <c r="AA148" s="4">
        <v>5170</v>
      </c>
      <c r="AB148" s="5" t="s">
        <v>156</v>
      </c>
      <c r="AC148" s="4">
        <v>1000</v>
      </c>
      <c r="AD148" s="3"/>
    </row>
    <row r="149" spans="21:30" ht="14.1" customHeight="1" x14ac:dyDescent="0.15">
      <c r="U149" s="3"/>
      <c r="V149" s="3"/>
      <c r="W149" s="3" t="s">
        <v>55</v>
      </c>
      <c r="X149" s="4">
        <v>-1107</v>
      </c>
      <c r="Y149" s="3"/>
      <c r="Z149" s="4">
        <v>-5628</v>
      </c>
      <c r="AA149" s="4">
        <v>3414</v>
      </c>
      <c r="AB149" s="5" t="s">
        <v>152</v>
      </c>
      <c r="AC149" s="4">
        <v>1000</v>
      </c>
      <c r="AD149" s="3"/>
    </row>
    <row r="150" spans="21:30" ht="14.1" customHeight="1" x14ac:dyDescent="0.15">
      <c r="U150" s="3"/>
      <c r="V150" s="3"/>
      <c r="W150" s="3" t="s">
        <v>56</v>
      </c>
      <c r="X150" s="4">
        <v>2186</v>
      </c>
      <c r="Y150" s="3"/>
      <c r="Z150" s="4">
        <v>-2407</v>
      </c>
      <c r="AA150" s="4">
        <v>6778</v>
      </c>
      <c r="AB150" s="5" t="s">
        <v>148</v>
      </c>
      <c r="AC150" s="4">
        <v>1000</v>
      </c>
      <c r="AD150" s="3"/>
    </row>
    <row r="151" spans="21:30" ht="14.1" customHeight="1" x14ac:dyDescent="0.15">
      <c r="U151" s="3"/>
      <c r="V151" s="3"/>
      <c r="W151" s="3" t="s">
        <v>57</v>
      </c>
      <c r="X151" s="4">
        <v>1076</v>
      </c>
      <c r="Y151" s="3"/>
      <c r="Z151" s="4">
        <v>-3517</v>
      </c>
      <c r="AA151" s="4">
        <v>5668</v>
      </c>
      <c r="AB151" s="5" t="s">
        <v>157</v>
      </c>
      <c r="AC151" s="4">
        <v>1000</v>
      </c>
      <c r="AD151" s="3"/>
    </row>
    <row r="152" spans="21:30" ht="14.1" customHeight="1" x14ac:dyDescent="0.15">
      <c r="U152" s="3"/>
      <c r="V152" s="3"/>
      <c r="W152" s="3" t="s">
        <v>58</v>
      </c>
      <c r="X152" s="4">
        <v>1756</v>
      </c>
      <c r="Y152" s="3"/>
      <c r="Z152" s="4">
        <v>-2765</v>
      </c>
      <c r="AA152" s="4">
        <v>6278</v>
      </c>
      <c r="AB152" s="5" t="s">
        <v>158</v>
      </c>
      <c r="AC152" s="4">
        <v>1000</v>
      </c>
      <c r="AD152" s="3"/>
    </row>
    <row r="153" spans="21:30" ht="14.1" customHeight="1" x14ac:dyDescent="0.15">
      <c r="U153" s="3"/>
      <c r="V153" s="3"/>
      <c r="W153" s="3" t="s">
        <v>59</v>
      </c>
      <c r="X153" s="4">
        <v>2092</v>
      </c>
      <c r="Y153" s="3"/>
      <c r="Z153" s="4">
        <v>-2500</v>
      </c>
      <c r="AA153" s="4">
        <v>6685</v>
      </c>
      <c r="AB153" s="5" t="s">
        <v>140</v>
      </c>
      <c r="AC153" s="4">
        <v>1000</v>
      </c>
      <c r="AD153" s="3"/>
    </row>
    <row r="154" spans="21:30" ht="14.1" customHeight="1" x14ac:dyDescent="0.15">
      <c r="U154" s="3"/>
      <c r="V154" s="3"/>
      <c r="W154" s="3" t="s">
        <v>60</v>
      </c>
      <c r="X154" s="4">
        <v>4279</v>
      </c>
      <c r="Y154" s="3"/>
      <c r="Z154" s="5" t="s">
        <v>159</v>
      </c>
      <c r="AA154" s="4">
        <v>8872</v>
      </c>
      <c r="AB154" s="4">
        <v>1885</v>
      </c>
      <c r="AC154" s="5" t="s">
        <v>160</v>
      </c>
      <c r="AD154" s="3"/>
    </row>
    <row r="155" spans="21:30" ht="14.1" customHeight="1" x14ac:dyDescent="0.15">
      <c r="U155" s="3" t="s">
        <v>48</v>
      </c>
      <c r="V155" s="3"/>
      <c r="W155" s="3" t="s">
        <v>49</v>
      </c>
      <c r="X155" s="5" t="s">
        <v>161</v>
      </c>
      <c r="Y155" s="3"/>
      <c r="Z155" s="4">
        <v>-5496</v>
      </c>
      <c r="AA155" s="4">
        <v>3689</v>
      </c>
      <c r="AB155" s="5" t="s">
        <v>162</v>
      </c>
      <c r="AC155" s="4">
        <v>1000</v>
      </c>
      <c r="AD155" s="3"/>
    </row>
    <row r="156" spans="21:30" ht="14.1" customHeight="1" x14ac:dyDescent="0.15">
      <c r="U156" s="3"/>
      <c r="V156" s="3"/>
      <c r="W156" s="3" t="s">
        <v>50</v>
      </c>
      <c r="X156" s="4">
        <v>-2069</v>
      </c>
      <c r="Y156" s="3"/>
      <c r="Z156" s="4">
        <v>-6661</v>
      </c>
      <c r="AA156" s="4">
        <v>2524</v>
      </c>
      <c r="AB156" s="5" t="s">
        <v>163</v>
      </c>
      <c r="AC156" s="4">
        <v>1000</v>
      </c>
      <c r="AD156" s="3"/>
    </row>
    <row r="157" spans="21:30" ht="14.1" customHeight="1" x14ac:dyDescent="0.15">
      <c r="U157" s="3"/>
      <c r="V157" s="3"/>
      <c r="W157" s="3" t="s">
        <v>53</v>
      </c>
      <c r="X157" s="5" t="s">
        <v>164</v>
      </c>
      <c r="Y157" s="3"/>
      <c r="Z157" s="4">
        <v>-4768</v>
      </c>
      <c r="AA157" s="4">
        <v>4275</v>
      </c>
      <c r="AB157" s="5" t="s">
        <v>165</v>
      </c>
      <c r="AC157" s="4">
        <v>1000</v>
      </c>
      <c r="AD157" s="3"/>
    </row>
    <row r="158" spans="21:30" ht="14.1" customHeight="1" x14ac:dyDescent="0.15">
      <c r="U158" s="3"/>
      <c r="V158" s="3"/>
      <c r="W158" s="3" t="s">
        <v>54</v>
      </c>
      <c r="X158" s="5" t="s">
        <v>166</v>
      </c>
      <c r="Y158" s="3"/>
      <c r="Z158" s="4">
        <v>-4977</v>
      </c>
      <c r="AA158" s="4">
        <v>4208</v>
      </c>
      <c r="AB158" s="5" t="s">
        <v>167</v>
      </c>
      <c r="AC158" s="4">
        <v>1000</v>
      </c>
      <c r="AD158" s="3"/>
    </row>
    <row r="159" spans="21:30" ht="14.1" customHeight="1" x14ac:dyDescent="0.15">
      <c r="U159" s="3"/>
      <c r="V159" s="3"/>
      <c r="W159" s="3" t="s">
        <v>55</v>
      </c>
      <c r="X159" s="4">
        <v>-2069</v>
      </c>
      <c r="Y159" s="3"/>
      <c r="Z159" s="4">
        <v>-6661</v>
      </c>
      <c r="AA159" s="4">
        <v>2524</v>
      </c>
      <c r="AB159" s="5" t="s">
        <v>163</v>
      </c>
      <c r="AC159" s="4">
        <v>1000</v>
      </c>
      <c r="AD159" s="3"/>
    </row>
    <row r="160" spans="21:30" ht="14.1" customHeight="1" x14ac:dyDescent="0.15">
      <c r="U160" s="3"/>
      <c r="V160" s="3"/>
      <c r="W160" s="3" t="s">
        <v>56</v>
      </c>
      <c r="X160" s="4">
        <v>1224</v>
      </c>
      <c r="Y160" s="3"/>
      <c r="Z160" s="4">
        <v>-3297</v>
      </c>
      <c r="AA160" s="4">
        <v>5745</v>
      </c>
      <c r="AB160" s="5" t="s">
        <v>168</v>
      </c>
      <c r="AC160" s="4">
        <v>1000</v>
      </c>
      <c r="AD160" s="3"/>
    </row>
    <row r="161" spans="21:30" ht="14.1" customHeight="1" x14ac:dyDescent="0.15">
      <c r="U161" s="3"/>
      <c r="V161" s="3"/>
      <c r="W161" s="3" t="s">
        <v>57</v>
      </c>
      <c r="X161" s="5" t="s">
        <v>169</v>
      </c>
      <c r="Y161" s="3"/>
      <c r="Z161" s="4">
        <v>-4478</v>
      </c>
      <c r="AA161" s="4">
        <v>4707</v>
      </c>
      <c r="AB161" s="5" t="s">
        <v>170</v>
      </c>
      <c r="AC161" s="4">
        <v>1000</v>
      </c>
      <c r="AD161" s="3"/>
    </row>
    <row r="162" spans="21:30" ht="14.1" customHeight="1" x14ac:dyDescent="0.15">
      <c r="U162" s="3"/>
      <c r="V162" s="3"/>
      <c r="W162" s="3" t="s">
        <v>58</v>
      </c>
      <c r="X162" s="5" t="s">
        <v>22</v>
      </c>
      <c r="Y162" s="3"/>
      <c r="Z162" s="4">
        <v>-3798</v>
      </c>
      <c r="AA162" s="4">
        <v>5387</v>
      </c>
      <c r="AB162" s="5" t="s">
        <v>171</v>
      </c>
      <c r="AC162" s="4">
        <v>1000</v>
      </c>
      <c r="AD162" s="3"/>
    </row>
    <row r="163" spans="21:30" ht="14.1" customHeight="1" x14ac:dyDescent="0.15">
      <c r="U163" s="3"/>
      <c r="V163" s="3"/>
      <c r="W163" s="3" t="s">
        <v>59</v>
      </c>
      <c r="X163" s="4">
        <v>1130</v>
      </c>
      <c r="Y163" s="3"/>
      <c r="Z163" s="4">
        <v>-3391</v>
      </c>
      <c r="AA163" s="4">
        <v>5651</v>
      </c>
      <c r="AB163" s="5" t="s">
        <v>172</v>
      </c>
      <c r="AC163" s="4">
        <v>1000</v>
      </c>
      <c r="AD163" s="3"/>
    </row>
    <row r="164" spans="21:30" ht="14.1" customHeight="1" x14ac:dyDescent="0.15">
      <c r="U164" s="3"/>
      <c r="V164" s="3"/>
      <c r="W164" s="3" t="s">
        <v>60</v>
      </c>
      <c r="X164" s="4">
        <v>3318</v>
      </c>
      <c r="Y164" s="3"/>
      <c r="Z164" s="4">
        <v>-1275</v>
      </c>
      <c r="AA164" s="4">
        <v>7910</v>
      </c>
      <c r="AB164" s="4">
        <v>1461</v>
      </c>
      <c r="AC164" s="4">
        <v>1000</v>
      </c>
      <c r="AD164" s="3"/>
    </row>
    <row r="165" spans="21:30" ht="14.1" customHeight="1" x14ac:dyDescent="0.15">
      <c r="U165" s="3" t="s">
        <v>49</v>
      </c>
      <c r="V165" s="3"/>
      <c r="W165" s="3" t="s">
        <v>50</v>
      </c>
      <c r="X165" s="4">
        <v>-1166</v>
      </c>
      <c r="Y165" s="3"/>
      <c r="Z165" s="4">
        <v>-5758</v>
      </c>
      <c r="AA165" s="4">
        <v>3427</v>
      </c>
      <c r="AB165" s="5" t="s">
        <v>173</v>
      </c>
      <c r="AC165" s="4">
        <v>1000</v>
      </c>
      <c r="AD165" s="3"/>
    </row>
    <row r="166" spans="21:30" ht="14.1" customHeight="1" x14ac:dyDescent="0.15">
      <c r="U166" s="3"/>
      <c r="V166" s="3"/>
      <c r="W166" s="3" t="s">
        <v>53</v>
      </c>
      <c r="X166" s="5" t="s">
        <v>174</v>
      </c>
      <c r="Y166" s="3"/>
      <c r="Z166" s="4">
        <v>-3935</v>
      </c>
      <c r="AA166" s="4">
        <v>5250</v>
      </c>
      <c r="AB166" s="5" t="s">
        <v>175</v>
      </c>
      <c r="AC166" s="4">
        <v>1000</v>
      </c>
      <c r="AD166" s="3"/>
    </row>
    <row r="167" spans="21:30" ht="14.1" customHeight="1" x14ac:dyDescent="0.15">
      <c r="U167" s="3"/>
      <c r="V167" s="3"/>
      <c r="W167" s="3" t="s">
        <v>54</v>
      </c>
      <c r="X167" s="5" t="s">
        <v>176</v>
      </c>
      <c r="Y167" s="3"/>
      <c r="Z167" s="4">
        <v>-4002</v>
      </c>
      <c r="AA167" s="4">
        <v>5040</v>
      </c>
      <c r="AB167" s="5" t="s">
        <v>177</v>
      </c>
      <c r="AC167" s="4">
        <v>1000</v>
      </c>
      <c r="AD167" s="3"/>
    </row>
    <row r="168" spans="21:30" ht="14.1" customHeight="1" x14ac:dyDescent="0.15">
      <c r="U168" s="3"/>
      <c r="V168" s="3"/>
      <c r="W168" s="3" t="s">
        <v>55</v>
      </c>
      <c r="X168" s="4">
        <v>-1166</v>
      </c>
      <c r="Y168" s="3"/>
      <c r="Z168" s="4">
        <v>-5758</v>
      </c>
      <c r="AA168" s="4">
        <v>3427</v>
      </c>
      <c r="AB168" s="5" t="s">
        <v>173</v>
      </c>
      <c r="AC168" s="4">
        <v>1000</v>
      </c>
      <c r="AD168" s="3"/>
    </row>
    <row r="169" spans="21:30" ht="14.1" customHeight="1" x14ac:dyDescent="0.15">
      <c r="U169" s="3"/>
      <c r="V169" s="3"/>
      <c r="W169" s="3" t="s">
        <v>56</v>
      </c>
      <c r="X169" s="4">
        <v>2127</v>
      </c>
      <c r="Y169" s="3"/>
      <c r="Z169" s="4">
        <v>-2465</v>
      </c>
      <c r="AA169" s="4">
        <v>6720</v>
      </c>
      <c r="AB169" s="5" t="s">
        <v>61</v>
      </c>
      <c r="AC169" s="4">
        <v>1000</v>
      </c>
      <c r="AD169" s="3"/>
    </row>
    <row r="170" spans="21:30" ht="14.1" customHeight="1" x14ac:dyDescent="0.15">
      <c r="U170" s="3"/>
      <c r="V170" s="3"/>
      <c r="W170" s="3" t="s">
        <v>57</v>
      </c>
      <c r="X170" s="4">
        <v>1017</v>
      </c>
      <c r="Y170" s="3"/>
      <c r="Z170" s="4">
        <v>-3504</v>
      </c>
      <c r="AA170" s="4">
        <v>5539</v>
      </c>
      <c r="AB170" s="5" t="s">
        <v>178</v>
      </c>
      <c r="AC170" s="4">
        <v>1000</v>
      </c>
      <c r="AD170" s="3"/>
    </row>
    <row r="171" spans="21:30" ht="14.1" customHeight="1" x14ac:dyDescent="0.15">
      <c r="U171" s="3"/>
      <c r="V171" s="3"/>
      <c r="W171" s="3" t="s">
        <v>58</v>
      </c>
      <c r="X171" s="4">
        <v>1698</v>
      </c>
      <c r="Y171" s="3"/>
      <c r="Z171" s="4">
        <v>-2895</v>
      </c>
      <c r="AA171" s="4">
        <v>6290</v>
      </c>
      <c r="AB171" s="5" t="s">
        <v>179</v>
      </c>
      <c r="AC171" s="4">
        <v>1000</v>
      </c>
      <c r="AD171" s="3"/>
    </row>
    <row r="172" spans="21:30" ht="14.1" customHeight="1" x14ac:dyDescent="0.15">
      <c r="U172" s="3"/>
      <c r="V172" s="3"/>
      <c r="W172" s="3" t="s">
        <v>59</v>
      </c>
      <c r="X172" s="4">
        <v>2034</v>
      </c>
      <c r="Y172" s="3"/>
      <c r="Z172" s="4">
        <v>-2559</v>
      </c>
      <c r="AA172" s="4">
        <v>6626</v>
      </c>
      <c r="AB172" s="5" t="s">
        <v>180</v>
      </c>
      <c r="AC172" s="4">
        <v>1000</v>
      </c>
      <c r="AD172" s="3"/>
    </row>
    <row r="173" spans="21:30" ht="14.1" customHeight="1" x14ac:dyDescent="0.15">
      <c r="U173" s="3"/>
      <c r="V173" s="3"/>
      <c r="W173" s="3" t="s">
        <v>60</v>
      </c>
      <c r="X173" s="4">
        <v>4221</v>
      </c>
      <c r="Y173" s="3"/>
      <c r="Z173" s="5" t="s">
        <v>181</v>
      </c>
      <c r="AA173" s="4">
        <v>8742</v>
      </c>
      <c r="AB173" s="4">
        <v>1859</v>
      </c>
      <c r="AC173" s="5" t="s">
        <v>182</v>
      </c>
      <c r="AD173" s="3"/>
    </row>
    <row r="174" spans="21:30" ht="14.1" customHeight="1" x14ac:dyDescent="0.15">
      <c r="U174" s="3" t="s">
        <v>50</v>
      </c>
      <c r="V174" s="3"/>
      <c r="W174" s="3" t="s">
        <v>53</v>
      </c>
      <c r="X174" s="4">
        <v>1823</v>
      </c>
      <c r="Y174" s="3"/>
      <c r="Z174" s="4">
        <v>-2770</v>
      </c>
      <c r="AA174" s="4">
        <v>6415</v>
      </c>
      <c r="AB174" s="5" t="s">
        <v>183</v>
      </c>
      <c r="AC174" s="4">
        <v>1000</v>
      </c>
      <c r="AD174" s="3"/>
    </row>
    <row r="175" spans="21:30" ht="14.1" customHeight="1" x14ac:dyDescent="0.15">
      <c r="U175" s="3"/>
      <c r="V175" s="3"/>
      <c r="W175" s="3" t="s">
        <v>54</v>
      </c>
      <c r="X175" s="4">
        <v>1685</v>
      </c>
      <c r="Y175" s="3"/>
      <c r="Z175" s="4">
        <v>-2908</v>
      </c>
      <c r="AA175" s="4">
        <v>6277</v>
      </c>
      <c r="AB175" s="5" t="s">
        <v>184</v>
      </c>
      <c r="AC175" s="4">
        <v>1000</v>
      </c>
      <c r="AD175" s="3"/>
    </row>
    <row r="176" spans="21:30" ht="14.1" customHeight="1" x14ac:dyDescent="0.15">
      <c r="U176" s="3"/>
      <c r="V176" s="3"/>
      <c r="W176" s="3" t="s">
        <v>55</v>
      </c>
      <c r="X176" s="7">
        <v>4.9129999999999998E-12</v>
      </c>
      <c r="Y176" s="3"/>
      <c r="Z176" s="4">
        <v>-4521</v>
      </c>
      <c r="AA176" s="4">
        <v>4521</v>
      </c>
      <c r="AB176" s="7">
        <v>1.7759999999999999E-12</v>
      </c>
      <c r="AC176" s="4">
        <v>1000</v>
      </c>
      <c r="AD176" s="3"/>
    </row>
    <row r="177" spans="21:30" ht="14.1" customHeight="1" x14ac:dyDescent="0.15">
      <c r="U177" s="3"/>
      <c r="V177" s="3"/>
      <c r="W177" s="3" t="s">
        <v>56</v>
      </c>
      <c r="X177" s="4">
        <v>3293</v>
      </c>
      <c r="Y177" s="3"/>
      <c r="Z177" s="4">
        <v>-1300</v>
      </c>
      <c r="AA177" s="4">
        <v>7885</v>
      </c>
      <c r="AB177" s="4">
        <v>1450</v>
      </c>
      <c r="AC177" s="4">
        <v>1000</v>
      </c>
      <c r="AD177" s="3"/>
    </row>
    <row r="178" spans="21:30" ht="14.1" customHeight="1" x14ac:dyDescent="0.15">
      <c r="U178" s="3"/>
      <c r="V178" s="3"/>
      <c r="W178" s="3" t="s">
        <v>57</v>
      </c>
      <c r="X178" s="4">
        <v>2183</v>
      </c>
      <c r="Y178" s="3"/>
      <c r="Z178" s="4">
        <v>-2409</v>
      </c>
      <c r="AA178" s="4">
        <v>6776</v>
      </c>
      <c r="AB178" s="5" t="s">
        <v>150</v>
      </c>
      <c r="AC178" s="4">
        <v>1000</v>
      </c>
      <c r="AD178" s="3"/>
    </row>
    <row r="179" spans="21:30" ht="14.1" customHeight="1" x14ac:dyDescent="0.15">
      <c r="U179" s="3"/>
      <c r="V179" s="3"/>
      <c r="W179" s="3" t="s">
        <v>58</v>
      </c>
      <c r="X179" s="4">
        <v>2864</v>
      </c>
      <c r="Y179" s="3"/>
      <c r="Z179" s="4">
        <v>-1658</v>
      </c>
      <c r="AA179" s="4">
        <v>7385</v>
      </c>
      <c r="AB179" s="4">
        <v>1261</v>
      </c>
      <c r="AC179" s="4">
        <v>1000</v>
      </c>
      <c r="AD179" s="3"/>
    </row>
    <row r="180" spans="21:30" ht="14.1" customHeight="1" x14ac:dyDescent="0.15">
      <c r="U180" s="3"/>
      <c r="V180" s="3"/>
      <c r="W180" s="3" t="s">
        <v>59</v>
      </c>
      <c r="X180" s="4">
        <v>3199</v>
      </c>
      <c r="Y180" s="3"/>
      <c r="Z180" s="4">
        <v>-1393</v>
      </c>
      <c r="AA180" s="4">
        <v>7792</v>
      </c>
      <c r="AB180" s="4">
        <v>1409</v>
      </c>
      <c r="AC180" s="4">
        <v>1000</v>
      </c>
      <c r="AD180" s="3"/>
    </row>
    <row r="181" spans="21:30" ht="14.1" customHeight="1" x14ac:dyDescent="0.15">
      <c r="U181" s="3"/>
      <c r="V181" s="3"/>
      <c r="W181" s="3" t="s">
        <v>60</v>
      </c>
      <c r="X181" s="4">
        <v>5386</v>
      </c>
      <c r="Y181" s="3"/>
      <c r="Z181" s="5" t="s">
        <v>185</v>
      </c>
      <c r="AA181" s="4">
        <v>9979</v>
      </c>
      <c r="AB181" s="4">
        <v>2373</v>
      </c>
      <c r="AC181" s="5" t="s">
        <v>91</v>
      </c>
      <c r="AD181" s="3" t="s">
        <v>47</v>
      </c>
    </row>
    <row r="182" spans="21:30" ht="14.1" customHeight="1" x14ac:dyDescent="0.15">
      <c r="U182" s="3" t="s">
        <v>53</v>
      </c>
      <c r="V182" s="3"/>
      <c r="W182" s="3" t="s">
        <v>54</v>
      </c>
      <c r="X182" s="5" t="s">
        <v>186</v>
      </c>
      <c r="Y182" s="3"/>
      <c r="Z182" s="4">
        <v>-4730</v>
      </c>
      <c r="AA182" s="4">
        <v>4455</v>
      </c>
      <c r="AB182" s="5" t="s">
        <v>187</v>
      </c>
      <c r="AC182" s="4">
        <v>1000</v>
      </c>
      <c r="AD182" s="3"/>
    </row>
    <row r="183" spans="21:30" ht="14.1" customHeight="1" x14ac:dyDescent="0.15">
      <c r="U183" s="3"/>
      <c r="V183" s="3"/>
      <c r="W183" s="3" t="s">
        <v>55</v>
      </c>
      <c r="X183" s="4">
        <v>-1823</v>
      </c>
      <c r="Y183" s="3"/>
      <c r="Z183" s="4">
        <v>-6415</v>
      </c>
      <c r="AA183" s="4">
        <v>2770</v>
      </c>
      <c r="AB183" s="5" t="s">
        <v>188</v>
      </c>
      <c r="AC183" s="4">
        <v>1000</v>
      </c>
      <c r="AD183" s="3"/>
    </row>
    <row r="184" spans="21:30" ht="14.1" customHeight="1" x14ac:dyDescent="0.15">
      <c r="U184" s="3"/>
      <c r="V184" s="3"/>
      <c r="W184" s="3" t="s">
        <v>56</v>
      </c>
      <c r="X184" s="4">
        <v>1470</v>
      </c>
      <c r="Y184" s="3"/>
      <c r="Z184" s="4">
        <v>-3051</v>
      </c>
      <c r="AA184" s="4">
        <v>5992</v>
      </c>
      <c r="AB184" s="5" t="s">
        <v>189</v>
      </c>
      <c r="AC184" s="4">
        <v>1000</v>
      </c>
      <c r="AD184" s="3"/>
    </row>
    <row r="185" spans="21:30" ht="14.1" customHeight="1" x14ac:dyDescent="0.15">
      <c r="U185" s="3"/>
      <c r="V185" s="3"/>
      <c r="W185" s="3" t="s">
        <v>57</v>
      </c>
      <c r="X185" s="5" t="s">
        <v>190</v>
      </c>
      <c r="Y185" s="3"/>
      <c r="Z185" s="4">
        <v>-4232</v>
      </c>
      <c r="AA185" s="4">
        <v>4953</v>
      </c>
      <c r="AB185" s="5" t="s">
        <v>191</v>
      </c>
      <c r="AC185" s="4">
        <v>1000</v>
      </c>
      <c r="AD185" s="3"/>
    </row>
    <row r="186" spans="21:30" ht="14.1" customHeight="1" x14ac:dyDescent="0.15">
      <c r="U186" s="3"/>
      <c r="V186" s="3"/>
      <c r="W186" s="3" t="s">
        <v>58</v>
      </c>
      <c r="X186" s="4">
        <v>1041</v>
      </c>
      <c r="Y186" s="3"/>
      <c r="Z186" s="4">
        <v>-3552</v>
      </c>
      <c r="AA186" s="4">
        <v>5633</v>
      </c>
      <c r="AB186" s="5" t="s">
        <v>192</v>
      </c>
      <c r="AC186" s="4">
        <v>1000</v>
      </c>
      <c r="AD186" s="3"/>
    </row>
    <row r="187" spans="21:30" ht="14.1" customHeight="1" x14ac:dyDescent="0.15">
      <c r="U187" s="3"/>
      <c r="V187" s="3"/>
      <c r="W187" s="3" t="s">
        <v>59</v>
      </c>
      <c r="X187" s="4">
        <v>1377</v>
      </c>
      <c r="Y187" s="3"/>
      <c r="Z187" s="4">
        <v>-3145</v>
      </c>
      <c r="AA187" s="4">
        <v>5898</v>
      </c>
      <c r="AB187" s="5" t="s">
        <v>193</v>
      </c>
      <c r="AC187" s="4">
        <v>1000</v>
      </c>
      <c r="AD187" s="3"/>
    </row>
    <row r="188" spans="21:30" ht="14.1" customHeight="1" x14ac:dyDescent="0.15">
      <c r="U188" s="3"/>
      <c r="V188" s="3"/>
      <c r="W188" s="3" t="s">
        <v>60</v>
      </c>
      <c r="X188" s="4">
        <v>3564</v>
      </c>
      <c r="Y188" s="3"/>
      <c r="Z188" s="4">
        <v>-1029</v>
      </c>
      <c r="AA188" s="4">
        <v>8156</v>
      </c>
      <c r="AB188" s="4">
        <v>1570</v>
      </c>
      <c r="AC188" s="5" t="s">
        <v>194</v>
      </c>
      <c r="AD188" s="3"/>
    </row>
    <row r="189" spans="21:30" ht="14.1" customHeight="1" x14ac:dyDescent="0.15">
      <c r="U189" s="3" t="s">
        <v>54</v>
      </c>
      <c r="V189" s="3"/>
      <c r="W189" s="3" t="s">
        <v>55</v>
      </c>
      <c r="X189" s="4">
        <v>-1685</v>
      </c>
      <c r="Y189" s="3"/>
      <c r="Z189" s="4">
        <v>-6277</v>
      </c>
      <c r="AA189" s="4">
        <v>2908</v>
      </c>
      <c r="AB189" s="5" t="s">
        <v>195</v>
      </c>
      <c r="AC189" s="4">
        <v>1000</v>
      </c>
      <c r="AD189" s="3"/>
    </row>
    <row r="190" spans="21:30" ht="14.1" customHeight="1" x14ac:dyDescent="0.15">
      <c r="U190" s="3"/>
      <c r="V190" s="3"/>
      <c r="W190" s="3" t="s">
        <v>56</v>
      </c>
      <c r="X190" s="4">
        <v>1608</v>
      </c>
      <c r="Y190" s="3"/>
      <c r="Z190" s="4">
        <v>-2984</v>
      </c>
      <c r="AA190" s="4">
        <v>6201</v>
      </c>
      <c r="AB190" s="5" t="s">
        <v>196</v>
      </c>
      <c r="AC190" s="4">
        <v>1000</v>
      </c>
      <c r="AD190" s="3"/>
    </row>
    <row r="191" spans="21:30" ht="14.1" customHeight="1" x14ac:dyDescent="0.15">
      <c r="U191" s="3"/>
      <c r="V191" s="3"/>
      <c r="W191" s="3" t="s">
        <v>57</v>
      </c>
      <c r="X191" s="5" t="s">
        <v>172</v>
      </c>
      <c r="Y191" s="3"/>
      <c r="Z191" s="4">
        <v>-4023</v>
      </c>
      <c r="AA191" s="4">
        <v>5019</v>
      </c>
      <c r="AB191" s="5" t="s">
        <v>197</v>
      </c>
      <c r="AC191" s="4">
        <v>1000</v>
      </c>
      <c r="AD191" s="3"/>
    </row>
    <row r="192" spans="21:30" ht="14.1" customHeight="1" x14ac:dyDescent="0.15">
      <c r="U192" s="3"/>
      <c r="V192" s="3"/>
      <c r="W192" s="3" t="s">
        <v>58</v>
      </c>
      <c r="X192" s="4">
        <v>1179</v>
      </c>
      <c r="Y192" s="3"/>
      <c r="Z192" s="4">
        <v>-3414</v>
      </c>
      <c r="AA192" s="4">
        <v>5771</v>
      </c>
      <c r="AB192" s="5" t="s">
        <v>176</v>
      </c>
      <c r="AC192" s="4">
        <v>1000</v>
      </c>
      <c r="AD192" s="3"/>
    </row>
    <row r="193" spans="21:30" ht="14.1" customHeight="1" x14ac:dyDescent="0.15">
      <c r="U193" s="3"/>
      <c r="V193" s="3"/>
      <c r="W193" s="3" t="s">
        <v>59</v>
      </c>
      <c r="X193" s="4">
        <v>1514</v>
      </c>
      <c r="Y193" s="3"/>
      <c r="Z193" s="4">
        <v>-3078</v>
      </c>
      <c r="AA193" s="4">
        <v>6107</v>
      </c>
      <c r="AB193" s="5" t="s">
        <v>198</v>
      </c>
      <c r="AC193" s="4">
        <v>1000</v>
      </c>
      <c r="AD193" s="3"/>
    </row>
    <row r="194" spans="21:30" ht="14.1" customHeight="1" x14ac:dyDescent="0.15">
      <c r="U194" s="3"/>
      <c r="V194" s="3"/>
      <c r="W194" s="3" t="s">
        <v>60</v>
      </c>
      <c r="X194" s="4">
        <v>3702</v>
      </c>
      <c r="Y194" s="3"/>
      <c r="Z194" s="5" t="s">
        <v>199</v>
      </c>
      <c r="AA194" s="4">
        <v>8223</v>
      </c>
      <c r="AB194" s="4">
        <v>1630</v>
      </c>
      <c r="AC194" s="5" t="s">
        <v>172</v>
      </c>
      <c r="AD194" s="3"/>
    </row>
    <row r="195" spans="21:30" ht="14.1" customHeight="1" x14ac:dyDescent="0.15">
      <c r="U195" s="3" t="s">
        <v>55</v>
      </c>
      <c r="V195" s="3"/>
      <c r="W195" s="3" t="s">
        <v>56</v>
      </c>
      <c r="X195" s="4">
        <v>3293</v>
      </c>
      <c r="Y195" s="3"/>
      <c r="Z195" s="4">
        <v>-1300</v>
      </c>
      <c r="AA195" s="4">
        <v>7885</v>
      </c>
      <c r="AB195" s="4">
        <v>1450</v>
      </c>
      <c r="AC195" s="4">
        <v>1000</v>
      </c>
      <c r="AD195" s="3"/>
    </row>
    <row r="196" spans="21:30" ht="14.1" customHeight="1" x14ac:dyDescent="0.15">
      <c r="U196" s="3"/>
      <c r="V196" s="3"/>
      <c r="W196" s="3" t="s">
        <v>57</v>
      </c>
      <c r="X196" s="4">
        <v>2183</v>
      </c>
      <c r="Y196" s="3"/>
      <c r="Z196" s="4">
        <v>-2409</v>
      </c>
      <c r="AA196" s="4">
        <v>6776</v>
      </c>
      <c r="AB196" s="5" t="s">
        <v>150</v>
      </c>
      <c r="AC196" s="4">
        <v>1000</v>
      </c>
      <c r="AD196" s="3"/>
    </row>
    <row r="197" spans="21:30" ht="14.1" customHeight="1" x14ac:dyDescent="0.15">
      <c r="U197" s="3"/>
      <c r="V197" s="3"/>
      <c r="W197" s="3" t="s">
        <v>58</v>
      </c>
      <c r="X197" s="4">
        <v>2864</v>
      </c>
      <c r="Y197" s="3"/>
      <c r="Z197" s="4">
        <v>-1658</v>
      </c>
      <c r="AA197" s="4">
        <v>7385</v>
      </c>
      <c r="AB197" s="4">
        <v>1261</v>
      </c>
      <c r="AC197" s="4">
        <v>1000</v>
      </c>
      <c r="AD197" s="3"/>
    </row>
    <row r="198" spans="21:30" ht="14.1" customHeight="1" x14ac:dyDescent="0.15">
      <c r="U198" s="3"/>
      <c r="V198" s="3"/>
      <c r="W198" s="3" t="s">
        <v>59</v>
      </c>
      <c r="X198" s="4">
        <v>3199</v>
      </c>
      <c r="Y198" s="3"/>
      <c r="Z198" s="4">
        <v>-1393</v>
      </c>
      <c r="AA198" s="4">
        <v>7792</v>
      </c>
      <c r="AB198" s="4">
        <v>1409</v>
      </c>
      <c r="AC198" s="4">
        <v>1000</v>
      </c>
      <c r="AD198" s="3"/>
    </row>
    <row r="199" spans="21:30" ht="14.1" customHeight="1" x14ac:dyDescent="0.15">
      <c r="U199" s="3"/>
      <c r="V199" s="3"/>
      <c r="W199" s="3" t="s">
        <v>60</v>
      </c>
      <c r="X199" s="4">
        <v>5386</v>
      </c>
      <c r="Y199" s="3"/>
      <c r="Z199" s="5" t="s">
        <v>185</v>
      </c>
      <c r="AA199" s="4">
        <v>9979</v>
      </c>
      <c r="AB199" s="4">
        <v>2373</v>
      </c>
      <c r="AC199" s="5" t="s">
        <v>91</v>
      </c>
      <c r="AD199" s="3" t="s">
        <v>47</v>
      </c>
    </row>
    <row r="200" spans="21:30" ht="14.1" customHeight="1" x14ac:dyDescent="0.15">
      <c r="U200" s="3" t="s">
        <v>56</v>
      </c>
      <c r="V200" s="3"/>
      <c r="W200" s="3" t="s">
        <v>57</v>
      </c>
      <c r="X200" s="4">
        <v>-1110</v>
      </c>
      <c r="Y200" s="3"/>
      <c r="Z200" s="4">
        <v>-5702</v>
      </c>
      <c r="AA200" s="4">
        <v>3483</v>
      </c>
      <c r="AB200" s="5" t="s">
        <v>200</v>
      </c>
      <c r="AC200" s="4">
        <v>1000</v>
      </c>
      <c r="AD200" s="3"/>
    </row>
    <row r="201" spans="21:30" ht="14.1" customHeight="1" x14ac:dyDescent="0.15">
      <c r="U201" s="3"/>
      <c r="V201" s="3"/>
      <c r="W201" s="3" t="s">
        <v>58</v>
      </c>
      <c r="X201" s="5" t="s">
        <v>35</v>
      </c>
      <c r="Y201" s="3"/>
      <c r="Z201" s="4">
        <v>-5022</v>
      </c>
      <c r="AA201" s="4">
        <v>4163</v>
      </c>
      <c r="AB201" s="5" t="s">
        <v>201</v>
      </c>
      <c r="AC201" s="4">
        <v>1000</v>
      </c>
      <c r="AD201" s="3"/>
    </row>
    <row r="202" spans="21:30" ht="14.1" customHeight="1" x14ac:dyDescent="0.15">
      <c r="U202" s="3"/>
      <c r="V202" s="3"/>
      <c r="W202" s="3" t="s">
        <v>59</v>
      </c>
      <c r="X202" s="5" t="s">
        <v>202</v>
      </c>
      <c r="Y202" s="3"/>
      <c r="Z202" s="4">
        <v>-4615</v>
      </c>
      <c r="AA202" s="4">
        <v>4427</v>
      </c>
      <c r="AB202" s="5" t="s">
        <v>203</v>
      </c>
      <c r="AC202" s="4">
        <v>1000</v>
      </c>
      <c r="AD202" s="3"/>
    </row>
    <row r="203" spans="21:30" ht="14.1" customHeight="1" x14ac:dyDescent="0.15">
      <c r="U203" s="3"/>
      <c r="V203" s="3"/>
      <c r="W203" s="3" t="s">
        <v>60</v>
      </c>
      <c r="X203" s="4">
        <v>2094</v>
      </c>
      <c r="Y203" s="3"/>
      <c r="Z203" s="4">
        <v>-2499</v>
      </c>
      <c r="AA203" s="4">
        <v>6686</v>
      </c>
      <c r="AB203" s="5" t="s">
        <v>204</v>
      </c>
      <c r="AC203" s="4">
        <v>1000</v>
      </c>
      <c r="AD203" s="3"/>
    </row>
    <row r="204" spans="21:30" ht="14.1" customHeight="1" x14ac:dyDescent="0.15">
      <c r="U204" s="3" t="s">
        <v>57</v>
      </c>
      <c r="V204" s="3"/>
      <c r="W204" s="3" t="s">
        <v>58</v>
      </c>
      <c r="X204" s="5" t="s">
        <v>205</v>
      </c>
      <c r="Y204" s="3"/>
      <c r="Z204" s="4">
        <v>-3912</v>
      </c>
      <c r="AA204" s="4">
        <v>5273</v>
      </c>
      <c r="AB204" s="5" t="s">
        <v>206</v>
      </c>
      <c r="AC204" s="4">
        <v>1000</v>
      </c>
      <c r="AD204" s="3"/>
    </row>
    <row r="205" spans="21:30" ht="14.1" customHeight="1" x14ac:dyDescent="0.15">
      <c r="U205" s="3"/>
      <c r="V205" s="3"/>
      <c r="W205" s="3" t="s">
        <v>59</v>
      </c>
      <c r="X205" s="4">
        <v>1016</v>
      </c>
      <c r="Y205" s="3"/>
      <c r="Z205" s="4">
        <v>-3576</v>
      </c>
      <c r="AA205" s="4">
        <v>5609</v>
      </c>
      <c r="AB205" s="5" t="s">
        <v>178</v>
      </c>
      <c r="AC205" s="4">
        <v>1000</v>
      </c>
      <c r="AD205" s="3"/>
    </row>
    <row r="206" spans="21:30" ht="14.1" customHeight="1" x14ac:dyDescent="0.15">
      <c r="U206" s="3"/>
      <c r="V206" s="3"/>
      <c r="W206" s="3" t="s">
        <v>60</v>
      </c>
      <c r="X206" s="4">
        <v>3203</v>
      </c>
      <c r="Y206" s="3"/>
      <c r="Z206" s="4">
        <v>-1318</v>
      </c>
      <c r="AA206" s="4">
        <v>7725</v>
      </c>
      <c r="AB206" s="4">
        <v>1411</v>
      </c>
      <c r="AC206" s="4">
        <v>1000</v>
      </c>
      <c r="AD206" s="3"/>
    </row>
    <row r="207" spans="21:30" ht="14.1" customHeight="1" x14ac:dyDescent="0.15">
      <c r="U207" s="3" t="s">
        <v>58</v>
      </c>
      <c r="V207" s="3"/>
      <c r="W207" s="3" t="s">
        <v>59</v>
      </c>
      <c r="X207" s="5" t="s">
        <v>207</v>
      </c>
      <c r="Y207" s="3"/>
      <c r="Z207" s="4">
        <v>-4257</v>
      </c>
      <c r="AA207" s="4">
        <v>4928</v>
      </c>
      <c r="AB207" s="5" t="s">
        <v>208</v>
      </c>
      <c r="AC207" s="4">
        <v>1000</v>
      </c>
      <c r="AD207" s="3"/>
    </row>
    <row r="208" spans="21:30" ht="14.1" customHeight="1" x14ac:dyDescent="0.15">
      <c r="U208" s="3"/>
      <c r="V208" s="3"/>
      <c r="W208" s="3" t="s">
        <v>60</v>
      </c>
      <c r="X208" s="4">
        <v>2523</v>
      </c>
      <c r="Y208" s="3"/>
      <c r="Z208" s="4">
        <v>-2070</v>
      </c>
      <c r="AA208" s="4">
        <v>7115</v>
      </c>
      <c r="AB208" s="4">
        <v>1111</v>
      </c>
      <c r="AC208" s="4">
        <v>1000</v>
      </c>
      <c r="AD208" s="3"/>
    </row>
    <row r="209" spans="21:30" ht="14.1" customHeight="1" x14ac:dyDescent="0.15">
      <c r="U209" s="3" t="s">
        <v>59</v>
      </c>
      <c r="V209" s="3"/>
      <c r="W209" s="3" t="s">
        <v>60</v>
      </c>
      <c r="X209" s="4">
        <v>2187</v>
      </c>
      <c r="Y209" s="3"/>
      <c r="Z209" s="4">
        <v>-2405</v>
      </c>
      <c r="AA209" s="4">
        <v>6780</v>
      </c>
      <c r="AB209" s="5" t="s">
        <v>148</v>
      </c>
      <c r="AC209" s="4">
        <v>1000</v>
      </c>
      <c r="AD209" s="3"/>
    </row>
    <row r="210" spans="21:30" ht="14.1" customHeight="1" thickBot="1" x14ac:dyDescent="0.2"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</row>
    <row r="211" spans="21:30" ht="14.1" customHeight="1" thickTop="1" x14ac:dyDescent="0.15">
      <c r="U211" s="144" t="s">
        <v>209</v>
      </c>
      <c r="V211" s="144"/>
      <c r="W211" s="144"/>
      <c r="X211" s="144"/>
      <c r="Y211" s="144"/>
      <c r="Z211" s="144"/>
      <c r="AA211" s="144"/>
      <c r="AB211" s="144"/>
      <c r="AC211" s="144"/>
      <c r="AD211" s="144"/>
    </row>
    <row r="212" spans="21:30" ht="14.1" customHeight="1" x14ac:dyDescent="0.15">
      <c r="U212" s="145" t="s">
        <v>210</v>
      </c>
      <c r="V212" s="145"/>
      <c r="W212" s="145"/>
      <c r="X212" s="145"/>
      <c r="Y212" s="145"/>
      <c r="Z212" s="145"/>
      <c r="AA212" s="145"/>
      <c r="AB212" s="145"/>
      <c r="AC212" s="145"/>
      <c r="AD212" s="145"/>
    </row>
  </sheetData>
  <mergeCells count="40">
    <mergeCell ref="B2:D2"/>
    <mergeCell ref="U210:AD210"/>
    <mergeCell ref="U211:AD211"/>
    <mergeCell ref="U212:AD212"/>
    <mergeCell ref="V5:W5"/>
    <mergeCell ref="Y5:Z5"/>
    <mergeCell ref="AD4:AE4"/>
    <mergeCell ref="AA4:AB4"/>
    <mergeCell ref="V4:Z4"/>
    <mergeCell ref="V3:AE3"/>
    <mergeCell ref="AD5:AE5"/>
    <mergeCell ref="AF4:AL4"/>
    <mergeCell ref="AF5:AL5"/>
    <mergeCell ref="AF6:AH7"/>
    <mergeCell ref="AI6:AI7"/>
    <mergeCell ref="AJ6:AJ7"/>
    <mergeCell ref="AK6:AL6"/>
    <mergeCell ref="AF8:AF28"/>
    <mergeCell ref="AG8:AG12"/>
    <mergeCell ref="AG13:AG16"/>
    <mergeCell ref="AG17:AG20"/>
    <mergeCell ref="AG21:AG24"/>
    <mergeCell ref="AG25:AG28"/>
    <mergeCell ref="AF29:AF48"/>
    <mergeCell ref="AG29:AG32"/>
    <mergeCell ref="AG33:AG36"/>
    <mergeCell ref="AG37:AG40"/>
    <mergeCell ref="AG41:AG44"/>
    <mergeCell ref="AG45:AG48"/>
    <mergeCell ref="AF49:AF68"/>
    <mergeCell ref="AG49:AG52"/>
    <mergeCell ref="AG53:AG56"/>
    <mergeCell ref="AG57:AG60"/>
    <mergeCell ref="AG61:AG64"/>
    <mergeCell ref="AG65:AG68"/>
    <mergeCell ref="AF69:AL69"/>
    <mergeCell ref="AF70:AL70"/>
    <mergeCell ref="AF71:AL71"/>
    <mergeCell ref="AF72:AL72"/>
    <mergeCell ref="AF73:AL73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5BFD-4947-4D82-8D2A-A68E35221B7F}">
  <dimension ref="B1:AL212"/>
  <sheetViews>
    <sheetView zoomScale="85" zoomScaleNormal="85" workbookViewId="0">
      <selection activeCell="G22" sqref="G22"/>
    </sheetView>
  </sheetViews>
  <sheetFormatPr defaultRowHeight="14.1" customHeight="1" x14ac:dyDescent="0.15"/>
  <cols>
    <col min="1" max="1" width="0.734375" customWidth="1"/>
    <col min="2" max="2" width="11.3984375" bestFit="1" customWidth="1"/>
    <col min="4" max="4" width="11.03125" bestFit="1" customWidth="1"/>
    <col min="17" max="17" width="8.94921875" customWidth="1"/>
    <col min="21" max="30" width="0" hidden="1" customWidth="1"/>
  </cols>
  <sheetData>
    <row r="1" spans="2:38" ht="4.5" customHeight="1" x14ac:dyDescent="0.15">
      <c r="U1" s="6" t="s">
        <v>23</v>
      </c>
    </row>
    <row r="2" spans="2:38" ht="14.1" customHeight="1" x14ac:dyDescent="0.15">
      <c r="B2" s="116" t="s">
        <v>211</v>
      </c>
      <c r="C2" s="117"/>
      <c r="D2" s="117"/>
    </row>
    <row r="3" spans="2:38" ht="14.1" customHeight="1" thickBot="1" x14ac:dyDescent="0.2">
      <c r="B3" t="s">
        <v>16</v>
      </c>
      <c r="C3" t="s">
        <v>15</v>
      </c>
      <c r="D3" t="s">
        <v>270</v>
      </c>
      <c r="U3" s="149" t="s">
        <v>24</v>
      </c>
      <c r="V3" s="149"/>
      <c r="W3" s="149"/>
      <c r="X3" s="149"/>
      <c r="Y3" s="149"/>
      <c r="Z3" s="149"/>
      <c r="AA3" s="149"/>
      <c r="AB3" s="149"/>
      <c r="AC3" s="149"/>
      <c r="AD3" s="149"/>
    </row>
    <row r="4" spans="2:38" ht="14.1" customHeight="1" thickBot="1" x14ac:dyDescent="0.2">
      <c r="B4" t="s">
        <v>4</v>
      </c>
      <c r="C4">
        <v>0</v>
      </c>
      <c r="D4" s="100">
        <f>AVERAGE('Dados gerais'!K3:K7)</f>
        <v>3.1442405333333334</v>
      </c>
      <c r="U4" s="147"/>
      <c r="V4" s="147"/>
      <c r="W4" s="147"/>
      <c r="X4" s="147"/>
      <c r="Y4" s="147"/>
      <c r="Z4" s="148" t="s">
        <v>25</v>
      </c>
      <c r="AA4" s="148"/>
      <c r="AB4" s="19"/>
      <c r="AC4" s="147"/>
      <c r="AD4" s="147"/>
      <c r="AE4" s="133" t="s">
        <v>222</v>
      </c>
      <c r="AF4" s="133"/>
      <c r="AG4" s="133"/>
      <c r="AH4" s="133"/>
      <c r="AI4" s="133"/>
      <c r="AJ4" s="133"/>
      <c r="AK4" s="133"/>
      <c r="AL4" s="60"/>
    </row>
    <row r="5" spans="2:38" ht="14.1" customHeight="1" thickBot="1" x14ac:dyDescent="0.2">
      <c r="B5" t="s">
        <v>4</v>
      </c>
      <c r="C5">
        <v>1</v>
      </c>
      <c r="D5" s="100">
        <f>AVERAGE('Dados gerais'!K8:K14)</f>
        <v>1.5632971428571429</v>
      </c>
      <c r="U5" s="146"/>
      <c r="V5" s="146"/>
      <c r="W5" s="18"/>
      <c r="X5" s="146" t="s">
        <v>26</v>
      </c>
      <c r="Y5" s="146"/>
      <c r="Z5" s="20" t="s">
        <v>27</v>
      </c>
      <c r="AA5" s="20" t="s">
        <v>28</v>
      </c>
      <c r="AB5" s="18" t="s">
        <v>29</v>
      </c>
      <c r="AC5" s="146" t="s">
        <v>30</v>
      </c>
      <c r="AD5" s="146"/>
      <c r="AE5" s="134" t="s">
        <v>223</v>
      </c>
      <c r="AF5" s="134" t="s">
        <v>256</v>
      </c>
      <c r="AG5" s="135"/>
      <c r="AH5" s="135"/>
      <c r="AI5" s="135"/>
      <c r="AJ5" s="135"/>
      <c r="AK5" s="135"/>
      <c r="AL5" s="60"/>
    </row>
    <row r="6" spans="2:38" ht="14.1" customHeight="1" x14ac:dyDescent="0.15">
      <c r="B6" t="s">
        <v>4</v>
      </c>
      <c r="C6">
        <v>2</v>
      </c>
      <c r="D6" s="100">
        <f>AVERAGE('Dados gerais'!K15:K20)</f>
        <v>1.2706827777777776</v>
      </c>
      <c r="U6" s="3" t="s">
        <v>31</v>
      </c>
      <c r="V6" s="3"/>
      <c r="W6" s="3" t="s">
        <v>32</v>
      </c>
      <c r="X6" s="7">
        <v>4.2189999999999997E-12</v>
      </c>
      <c r="Y6" s="3"/>
      <c r="Z6" s="4">
        <v>-4592</v>
      </c>
      <c r="AA6" s="4">
        <v>4592</v>
      </c>
      <c r="AB6" s="7">
        <v>1.7759999999999999E-12</v>
      </c>
      <c r="AC6" s="4">
        <v>1000</v>
      </c>
      <c r="AD6" s="3"/>
      <c r="AE6" s="136" t="s">
        <v>0</v>
      </c>
      <c r="AF6" s="136"/>
      <c r="AG6" s="136"/>
      <c r="AH6" s="138" t="s">
        <v>224</v>
      </c>
      <c r="AI6" s="140" t="s">
        <v>235</v>
      </c>
      <c r="AJ6" s="140" t="s">
        <v>236</v>
      </c>
      <c r="AK6" s="142"/>
      <c r="AL6" s="60"/>
    </row>
    <row r="7" spans="2:38" ht="14.1" customHeight="1" x14ac:dyDescent="0.15">
      <c r="B7" t="s">
        <v>19</v>
      </c>
      <c r="C7">
        <v>0</v>
      </c>
      <c r="D7" s="100">
        <f>AVERAGE('Dados gerais'!K21:K25)</f>
        <v>5.4809697999999996</v>
      </c>
      <c r="U7" s="3"/>
      <c r="V7" s="3"/>
      <c r="W7" s="3" t="s">
        <v>39</v>
      </c>
      <c r="X7" s="4">
        <v>2296</v>
      </c>
      <c r="Y7" s="3"/>
      <c r="Z7" s="4">
        <v>-2297</v>
      </c>
      <c r="AA7" s="4">
        <v>6888</v>
      </c>
      <c r="AB7" s="4">
        <v>1011</v>
      </c>
      <c r="AC7" s="4">
        <v>1000</v>
      </c>
      <c r="AD7" s="3"/>
      <c r="AE7" s="137"/>
      <c r="AF7" s="137"/>
      <c r="AG7" s="137"/>
      <c r="AH7" s="139"/>
      <c r="AI7" s="141"/>
      <c r="AJ7" s="62" t="s">
        <v>225</v>
      </c>
      <c r="AK7" s="63" t="s">
        <v>226</v>
      </c>
      <c r="AL7" s="60"/>
    </row>
    <row r="8" spans="2:38" ht="14.1" customHeight="1" x14ac:dyDescent="0.15">
      <c r="B8" t="s">
        <v>17</v>
      </c>
      <c r="C8">
        <v>1</v>
      </c>
      <c r="D8" s="100">
        <f>AVERAGE('Dados gerais'!K26:K32)</f>
        <v>3.6961848095238095</v>
      </c>
      <c r="U8" s="3"/>
      <c r="V8" s="3"/>
      <c r="W8" s="3" t="s">
        <v>40</v>
      </c>
      <c r="X8" s="4">
        <v>7753</v>
      </c>
      <c r="Y8" s="3"/>
      <c r="Z8" s="4">
        <v>3232</v>
      </c>
      <c r="AA8" s="4">
        <v>12274</v>
      </c>
      <c r="AB8" s="4">
        <v>3415</v>
      </c>
      <c r="AC8" s="5" t="s">
        <v>41</v>
      </c>
      <c r="AD8" s="3" t="s">
        <v>42</v>
      </c>
      <c r="AE8" s="131" t="s">
        <v>4</v>
      </c>
      <c r="AF8" s="132" t="s">
        <v>5</v>
      </c>
      <c r="AG8" s="90" t="s">
        <v>6</v>
      </c>
      <c r="AH8" s="91">
        <v>8.6046129253142798</v>
      </c>
      <c r="AI8" s="92">
        <v>8.8084938613957053E-2</v>
      </c>
      <c r="AJ8" s="92">
        <v>-0.88728110085664369</v>
      </c>
      <c r="AK8" s="93">
        <v>18.096506951485203</v>
      </c>
      <c r="AL8" s="60"/>
    </row>
    <row r="9" spans="2:38" ht="14.1" customHeight="1" x14ac:dyDescent="0.15">
      <c r="B9" t="s">
        <v>17</v>
      </c>
      <c r="C9">
        <v>2</v>
      </c>
      <c r="D9" s="100">
        <f>AVERAGE('Dados gerais'!K33:K39)</f>
        <v>1.3895238095238096</v>
      </c>
      <c r="U9" s="3"/>
      <c r="V9" s="3"/>
      <c r="W9" s="3" t="s">
        <v>43</v>
      </c>
      <c r="X9" s="4">
        <v>8738</v>
      </c>
      <c r="Y9" s="3"/>
      <c r="Z9" s="4">
        <v>4146</v>
      </c>
      <c r="AA9" s="4">
        <v>13331</v>
      </c>
      <c r="AB9" s="4">
        <v>3849</v>
      </c>
      <c r="AC9" s="5" t="s">
        <v>41</v>
      </c>
      <c r="AD9" s="3" t="s">
        <v>42</v>
      </c>
      <c r="AE9" s="127"/>
      <c r="AF9" s="130"/>
      <c r="AG9" s="81" t="s">
        <v>7</v>
      </c>
      <c r="AH9" s="82">
        <v>8.3423814485999959</v>
      </c>
      <c r="AI9" s="83">
        <v>0.1219956188039118</v>
      </c>
      <c r="AJ9" s="83">
        <v>-1.4735608136592813</v>
      </c>
      <c r="AK9" s="84">
        <v>18.158323710859271</v>
      </c>
      <c r="AL9" s="60"/>
    </row>
    <row r="10" spans="2:38" ht="14.1" customHeight="1" x14ac:dyDescent="0.15">
      <c r="B10" t="s">
        <v>17</v>
      </c>
      <c r="C10">
        <v>3</v>
      </c>
      <c r="D10" s="100">
        <f>AVERAGE('Dados gerais'!K40:K46)</f>
        <v>1.3603685714285716</v>
      </c>
      <c r="U10" s="3"/>
      <c r="V10" s="3"/>
      <c r="W10" s="3"/>
      <c r="X10" s="4"/>
      <c r="Y10" s="3"/>
      <c r="Z10" s="4"/>
      <c r="AA10" s="4"/>
      <c r="AB10" s="4"/>
      <c r="AC10" s="5"/>
      <c r="AD10" s="3"/>
      <c r="AE10" s="127"/>
      <c r="AF10" s="130"/>
      <c r="AG10" s="81"/>
      <c r="AH10" s="82"/>
      <c r="AI10" s="83"/>
      <c r="AJ10" s="83"/>
      <c r="AK10" s="84"/>
      <c r="AL10" s="60"/>
    </row>
    <row r="11" spans="2:38" ht="13.9" customHeight="1" x14ac:dyDescent="0.15">
      <c r="B11" t="s">
        <v>17</v>
      </c>
      <c r="C11">
        <v>4</v>
      </c>
      <c r="D11" s="100">
        <f>AVERAGE('Dados gerais'!K47:K53)</f>
        <v>0.96438904761904765</v>
      </c>
      <c r="U11" s="3"/>
      <c r="V11" s="3"/>
      <c r="W11" s="3" t="s">
        <v>44</v>
      </c>
      <c r="X11" s="4">
        <v>8893</v>
      </c>
      <c r="Y11" s="3"/>
      <c r="Z11" s="4">
        <v>4301</v>
      </c>
      <c r="AA11" s="4">
        <v>13486</v>
      </c>
      <c r="AB11" s="4">
        <v>3917</v>
      </c>
      <c r="AC11" s="5" t="s">
        <v>41</v>
      </c>
      <c r="AD11" s="3" t="s">
        <v>42</v>
      </c>
      <c r="AE11" s="127"/>
      <c r="AF11" s="130"/>
      <c r="AG11" s="81"/>
      <c r="AH11" s="85"/>
      <c r="AI11" s="94"/>
      <c r="AJ11" s="94"/>
      <c r="AK11" s="95"/>
      <c r="AL11" s="60"/>
    </row>
    <row r="12" spans="2:38" ht="14.1" customHeight="1" x14ac:dyDescent="0.15">
      <c r="B12" s="2" t="s">
        <v>20</v>
      </c>
      <c r="C12">
        <v>0</v>
      </c>
      <c r="D12" s="100">
        <f>AVERAGE('Dados gerais'!K59:K65)</f>
        <v>5.7612511428571427</v>
      </c>
      <c r="U12" s="3"/>
      <c r="V12" s="3"/>
      <c r="W12" s="3" t="s">
        <v>49</v>
      </c>
      <c r="X12" s="4">
        <v>5635</v>
      </c>
      <c r="Y12" s="3"/>
      <c r="Z12" s="4">
        <v>1043</v>
      </c>
      <c r="AA12" s="4">
        <v>10228</v>
      </c>
      <c r="AB12" s="4">
        <v>2482</v>
      </c>
      <c r="AC12" s="5" t="s">
        <v>46</v>
      </c>
      <c r="AD12" s="3" t="s">
        <v>47</v>
      </c>
      <c r="AE12" s="127"/>
      <c r="AF12" s="129"/>
      <c r="AG12" s="86"/>
      <c r="AH12" s="87"/>
      <c r="AI12" s="96"/>
      <c r="AJ12" s="96"/>
      <c r="AK12" s="97"/>
      <c r="AL12" s="60"/>
    </row>
    <row r="13" spans="2:38" ht="14.1" customHeight="1" x14ac:dyDescent="0.15">
      <c r="B13" s="2" t="s">
        <v>18</v>
      </c>
      <c r="C13">
        <v>1</v>
      </c>
      <c r="D13" s="100">
        <f>AVERAGE('Dados gerais'!K66:K72)</f>
        <v>1.9770795238095236</v>
      </c>
      <c r="U13" s="3"/>
      <c r="V13" s="3"/>
      <c r="W13" s="3" t="s">
        <v>50</v>
      </c>
      <c r="X13" s="4">
        <v>4470</v>
      </c>
      <c r="Y13" s="3"/>
      <c r="Z13" s="5" t="s">
        <v>51</v>
      </c>
      <c r="AA13" s="4">
        <v>8991</v>
      </c>
      <c r="AB13" s="4">
        <v>1969</v>
      </c>
      <c r="AC13" s="5" t="s">
        <v>52</v>
      </c>
      <c r="AD13" s="3"/>
      <c r="AE13" s="127"/>
      <c r="AF13" s="126" t="s">
        <v>6</v>
      </c>
      <c r="AG13" s="64" t="s">
        <v>5</v>
      </c>
      <c r="AH13" s="65">
        <v>-8.6046129253142798</v>
      </c>
      <c r="AI13" s="66">
        <v>8.8084938613957053E-2</v>
      </c>
      <c r="AJ13" s="66">
        <v>-18.096506951485203</v>
      </c>
      <c r="AK13" s="67">
        <v>0.88728110085664369</v>
      </c>
      <c r="AL13" s="60"/>
    </row>
    <row r="14" spans="2:38" ht="14.1" customHeight="1" x14ac:dyDescent="0.15">
      <c r="B14" s="2" t="s">
        <v>18</v>
      </c>
      <c r="C14">
        <v>2</v>
      </c>
      <c r="D14" s="100">
        <f>AVERAGE('Dados gerais'!K73:K78)</f>
        <v>1.0694342222222222</v>
      </c>
      <c r="U14" s="3"/>
      <c r="V14" s="3"/>
      <c r="W14" s="3" t="s">
        <v>53</v>
      </c>
      <c r="X14" s="4">
        <v>6292</v>
      </c>
      <c r="Y14" s="3"/>
      <c r="Z14" s="4">
        <v>1700</v>
      </c>
      <c r="AA14" s="4">
        <v>10885</v>
      </c>
      <c r="AB14" s="4">
        <v>2771</v>
      </c>
      <c r="AC14" s="5" t="s">
        <v>41</v>
      </c>
      <c r="AD14" s="3" t="s">
        <v>42</v>
      </c>
      <c r="AE14" s="127"/>
      <c r="AF14" s="127"/>
      <c r="AG14" s="64" t="s">
        <v>7</v>
      </c>
      <c r="AH14" s="65">
        <v>-0.26223147671428393</v>
      </c>
      <c r="AI14" s="66">
        <v>1</v>
      </c>
      <c r="AJ14" s="66">
        <v>-9.280918398618784</v>
      </c>
      <c r="AK14" s="67">
        <v>8.7564554451902161</v>
      </c>
      <c r="AL14" s="60"/>
    </row>
    <row r="15" spans="2:38" ht="14.1" customHeight="1" x14ac:dyDescent="0.15">
      <c r="B15" s="2" t="s">
        <v>18</v>
      </c>
      <c r="C15">
        <v>3</v>
      </c>
      <c r="D15" s="100">
        <f>AVERAGE('Dados gerais'!K73:K79)</f>
        <v>1.5482621904761906</v>
      </c>
      <c r="U15" s="3"/>
      <c r="V15" s="3"/>
      <c r="W15" s="3" t="s">
        <v>54</v>
      </c>
      <c r="X15" s="4">
        <v>6154</v>
      </c>
      <c r="Y15" s="3"/>
      <c r="Z15" s="4">
        <v>1562</v>
      </c>
      <c r="AA15" s="4">
        <v>10747</v>
      </c>
      <c r="AB15" s="4">
        <v>2711</v>
      </c>
      <c r="AC15" s="5" t="s">
        <v>41</v>
      </c>
      <c r="AD15" s="3" t="s">
        <v>42</v>
      </c>
      <c r="AE15" s="127"/>
      <c r="AF15" s="127"/>
      <c r="AG15" s="64" t="s">
        <v>8</v>
      </c>
      <c r="AH15" s="68" t="s">
        <v>237</v>
      </c>
      <c r="AI15" s="69"/>
      <c r="AJ15" s="69"/>
      <c r="AK15" s="70"/>
      <c r="AL15" s="60"/>
    </row>
    <row r="16" spans="2:38" ht="14.1" customHeight="1" x14ac:dyDescent="0.15">
      <c r="U16" s="3"/>
      <c r="V16" s="3"/>
      <c r="W16" s="3" t="s">
        <v>57</v>
      </c>
      <c r="X16" s="4">
        <v>6653</v>
      </c>
      <c r="Y16" s="3"/>
      <c r="Z16" s="4">
        <v>2060</v>
      </c>
      <c r="AA16" s="4">
        <v>11245</v>
      </c>
      <c r="AB16" s="4">
        <v>2930</v>
      </c>
      <c r="AC16" s="5" t="s">
        <v>41</v>
      </c>
      <c r="AD16" s="3" t="s">
        <v>42</v>
      </c>
      <c r="AE16" s="127"/>
      <c r="AF16" s="126"/>
      <c r="AG16" s="71" t="s">
        <v>227</v>
      </c>
      <c r="AH16" s="72" t="s">
        <v>237</v>
      </c>
      <c r="AI16" s="73"/>
      <c r="AJ16" s="73"/>
      <c r="AK16" s="74"/>
      <c r="AL16" s="60"/>
    </row>
    <row r="17" spans="5:38" ht="14.1" customHeight="1" x14ac:dyDescent="0.15">
      <c r="U17" s="3"/>
      <c r="V17" s="3"/>
      <c r="W17" s="3" t="s">
        <v>58</v>
      </c>
      <c r="X17" s="4">
        <v>7333</v>
      </c>
      <c r="Y17" s="3"/>
      <c r="Z17" s="4">
        <v>2812</v>
      </c>
      <c r="AA17" s="4">
        <v>11854</v>
      </c>
      <c r="AB17" s="4">
        <v>3230</v>
      </c>
      <c r="AC17" s="5" t="s">
        <v>41</v>
      </c>
      <c r="AD17" s="3" t="s">
        <v>42</v>
      </c>
      <c r="AE17" s="127"/>
      <c r="AF17" s="126" t="s">
        <v>7</v>
      </c>
      <c r="AG17" s="64" t="s">
        <v>5</v>
      </c>
      <c r="AH17" s="65">
        <v>-8.3423814485999959</v>
      </c>
      <c r="AI17" s="66">
        <v>0.1219956188039118</v>
      </c>
      <c r="AJ17" s="66">
        <v>-18.158323710859271</v>
      </c>
      <c r="AK17" s="67">
        <v>1.4735608136592813</v>
      </c>
      <c r="AL17" s="60"/>
    </row>
    <row r="18" spans="5:38" ht="14.1" customHeight="1" x14ac:dyDescent="0.15">
      <c r="U18" s="3"/>
      <c r="V18" s="3"/>
      <c r="W18" s="3" t="s">
        <v>59</v>
      </c>
      <c r="X18" s="4">
        <v>7669</v>
      </c>
      <c r="Y18" s="3"/>
      <c r="Z18" s="4">
        <v>3076</v>
      </c>
      <c r="AA18" s="4">
        <v>12261</v>
      </c>
      <c r="AB18" s="4">
        <v>3378</v>
      </c>
      <c r="AC18" s="5" t="s">
        <v>41</v>
      </c>
      <c r="AD18" s="3" t="s">
        <v>42</v>
      </c>
      <c r="AE18" s="127"/>
      <c r="AF18" s="127"/>
      <c r="AG18" s="64" t="s">
        <v>6</v>
      </c>
      <c r="AH18" s="65">
        <v>0.26223147671428393</v>
      </c>
      <c r="AI18" s="66">
        <v>1</v>
      </c>
      <c r="AJ18" s="66">
        <v>-8.7564554451902161</v>
      </c>
      <c r="AK18" s="67">
        <v>9.280918398618784</v>
      </c>
      <c r="AL18" s="60"/>
    </row>
    <row r="19" spans="5:38" ht="14.1" customHeight="1" x14ac:dyDescent="0.15">
      <c r="U19" s="3"/>
      <c r="V19" s="3"/>
      <c r="W19" s="3" t="s">
        <v>60</v>
      </c>
      <c r="X19" s="4">
        <v>9856</v>
      </c>
      <c r="Y19" s="3"/>
      <c r="Z19" s="4">
        <v>5264</v>
      </c>
      <c r="AA19" s="4">
        <v>14449</v>
      </c>
      <c r="AB19" s="4">
        <v>4341</v>
      </c>
      <c r="AC19" s="5" t="s">
        <v>41</v>
      </c>
      <c r="AD19" s="3" t="s">
        <v>42</v>
      </c>
      <c r="AE19" s="127"/>
      <c r="AF19" s="127"/>
      <c r="AG19" s="64"/>
      <c r="AH19" s="68"/>
      <c r="AI19" s="69"/>
      <c r="AJ19" s="69"/>
      <c r="AK19" s="70"/>
      <c r="AL19" s="60"/>
    </row>
    <row r="20" spans="5:38" ht="14.1" customHeight="1" x14ac:dyDescent="0.15">
      <c r="U20" s="3" t="s">
        <v>32</v>
      </c>
      <c r="V20" s="3"/>
      <c r="W20" s="3" t="s">
        <v>33</v>
      </c>
      <c r="X20" s="7">
        <v>3.5529999999999999E-12</v>
      </c>
      <c r="Y20" s="3"/>
      <c r="Z20" s="4">
        <v>-4592</v>
      </c>
      <c r="AA20" s="4">
        <v>4592</v>
      </c>
      <c r="AB20" s="7">
        <v>2.6650000000000001E-12</v>
      </c>
      <c r="AC20" s="4">
        <v>1000</v>
      </c>
      <c r="AD20" s="3"/>
      <c r="AE20" s="127"/>
      <c r="AF20" s="126"/>
      <c r="AG20" s="71"/>
      <c r="AH20" s="72"/>
      <c r="AI20" s="73"/>
      <c r="AJ20" s="73"/>
      <c r="AK20" s="74"/>
      <c r="AL20" s="60"/>
    </row>
    <row r="21" spans="5:38" ht="14.1" customHeight="1" x14ac:dyDescent="0.15">
      <c r="U21" s="3"/>
      <c r="V21" s="3"/>
      <c r="W21" s="3" t="s">
        <v>34</v>
      </c>
      <c r="X21" s="4">
        <v>4271</v>
      </c>
      <c r="Y21" s="3"/>
      <c r="Z21" s="5" t="s">
        <v>62</v>
      </c>
      <c r="AA21" s="4">
        <v>8864</v>
      </c>
      <c r="AB21" s="4">
        <v>1881</v>
      </c>
      <c r="AC21" s="5" t="s">
        <v>63</v>
      </c>
      <c r="AD21" s="3"/>
      <c r="AE21" s="127"/>
      <c r="AF21" s="126" t="s">
        <v>8</v>
      </c>
      <c r="AG21" s="64"/>
      <c r="AH21" s="68"/>
      <c r="AI21" s="69"/>
      <c r="AJ21" s="69"/>
      <c r="AK21" s="70"/>
      <c r="AL21" s="60"/>
    </row>
    <row r="22" spans="5:38" ht="14.1" customHeight="1" x14ac:dyDescent="0.15">
      <c r="U22" s="3"/>
      <c r="V22" s="3"/>
      <c r="W22" s="3" t="s">
        <v>37</v>
      </c>
      <c r="X22" s="4">
        <v>3490</v>
      </c>
      <c r="Y22" s="3"/>
      <c r="Z22" s="4">
        <v>-1032</v>
      </c>
      <c r="AA22" s="4">
        <v>8011</v>
      </c>
      <c r="AB22" s="4">
        <v>1537</v>
      </c>
      <c r="AC22" s="5" t="s">
        <v>64</v>
      </c>
      <c r="AD22" s="3"/>
      <c r="AE22" s="127"/>
      <c r="AF22" s="127"/>
      <c r="AG22" s="64"/>
      <c r="AH22" s="68"/>
      <c r="AI22" s="69"/>
      <c r="AJ22" s="69"/>
      <c r="AK22" s="70"/>
      <c r="AL22" s="60"/>
    </row>
    <row r="23" spans="5:38" ht="14.1" customHeight="1" x14ac:dyDescent="0.15">
      <c r="U23" s="3"/>
      <c r="V23" s="3"/>
      <c r="W23" s="3" t="s">
        <v>39</v>
      </c>
      <c r="X23" s="4">
        <v>2296</v>
      </c>
      <c r="Y23" s="3"/>
      <c r="Z23" s="4">
        <v>-2297</v>
      </c>
      <c r="AA23" s="4">
        <v>6888</v>
      </c>
      <c r="AB23" s="4">
        <v>1011</v>
      </c>
      <c r="AC23" s="4">
        <v>1000</v>
      </c>
      <c r="AD23" s="3"/>
      <c r="AE23" s="127"/>
      <c r="AF23" s="127"/>
      <c r="AG23" s="64"/>
      <c r="AH23" s="68"/>
      <c r="AI23" s="69"/>
      <c r="AJ23" s="69"/>
      <c r="AK23" s="70"/>
      <c r="AL23" s="60"/>
    </row>
    <row r="24" spans="5:38" ht="14.1" customHeight="1" x14ac:dyDescent="0.15">
      <c r="E24" s="21"/>
      <c r="U24" s="3"/>
      <c r="V24" s="3"/>
      <c r="W24" s="3" t="s">
        <v>40</v>
      </c>
      <c r="X24" s="4">
        <v>7753</v>
      </c>
      <c r="Y24" s="3"/>
      <c r="Z24" s="4">
        <v>3161</v>
      </c>
      <c r="AA24" s="4">
        <v>12346</v>
      </c>
      <c r="AB24" s="4">
        <v>3415</v>
      </c>
      <c r="AC24" s="5" t="s">
        <v>41</v>
      </c>
      <c r="AD24" s="3" t="s">
        <v>42</v>
      </c>
      <c r="AE24" s="127"/>
      <c r="AF24" s="126"/>
      <c r="AG24" s="71"/>
      <c r="AH24" s="72"/>
      <c r="AI24" s="73"/>
      <c r="AJ24" s="73"/>
      <c r="AK24" s="74"/>
      <c r="AL24" s="60"/>
    </row>
    <row r="25" spans="5:38" ht="14.1" customHeight="1" x14ac:dyDescent="0.15">
      <c r="U25" s="3"/>
      <c r="V25" s="3"/>
      <c r="W25" s="3" t="s">
        <v>43</v>
      </c>
      <c r="X25" s="4">
        <v>8738</v>
      </c>
      <c r="Y25" s="3"/>
      <c r="Z25" s="4">
        <v>4217</v>
      </c>
      <c r="AA25" s="4">
        <v>13259</v>
      </c>
      <c r="AB25" s="4">
        <v>3849</v>
      </c>
      <c r="AC25" s="5" t="s">
        <v>41</v>
      </c>
      <c r="AD25" s="3" t="s">
        <v>42</v>
      </c>
      <c r="AE25" s="127"/>
      <c r="AF25" s="126" t="s">
        <v>227</v>
      </c>
      <c r="AG25" s="64"/>
      <c r="AH25" s="68"/>
      <c r="AI25" s="69"/>
      <c r="AJ25" s="69"/>
      <c r="AK25" s="70"/>
      <c r="AL25" s="60"/>
    </row>
    <row r="26" spans="5:38" ht="14.1" customHeight="1" x14ac:dyDescent="0.15">
      <c r="U26" s="3"/>
      <c r="V26" s="3"/>
      <c r="W26" s="3" t="s">
        <v>44</v>
      </c>
      <c r="X26" s="4">
        <v>8893</v>
      </c>
      <c r="Y26" s="3"/>
      <c r="Z26" s="4">
        <v>4301</v>
      </c>
      <c r="AA26" s="4">
        <v>13486</v>
      </c>
      <c r="AB26" s="4">
        <v>3917</v>
      </c>
      <c r="AC26" s="5" t="s">
        <v>41</v>
      </c>
      <c r="AD26" s="3" t="s">
        <v>42</v>
      </c>
      <c r="AE26" s="127"/>
      <c r="AF26" s="127"/>
      <c r="AG26" s="64"/>
      <c r="AH26" s="68"/>
      <c r="AI26" s="69"/>
      <c r="AJ26" s="69"/>
      <c r="AK26" s="70"/>
      <c r="AL26" s="60"/>
    </row>
    <row r="27" spans="5:38" ht="14.1" customHeight="1" x14ac:dyDescent="0.15">
      <c r="U27" s="3"/>
      <c r="V27" s="3"/>
      <c r="W27" s="3" t="s">
        <v>45</v>
      </c>
      <c r="X27" s="4">
        <v>5577</v>
      </c>
      <c r="Y27" s="3"/>
      <c r="Z27" s="5" t="s">
        <v>65</v>
      </c>
      <c r="AA27" s="4">
        <v>10169</v>
      </c>
      <c r="AB27" s="4">
        <v>2456</v>
      </c>
      <c r="AC27" s="5" t="s">
        <v>46</v>
      </c>
      <c r="AD27" s="3" t="s">
        <v>47</v>
      </c>
      <c r="AE27" s="127"/>
      <c r="AF27" s="127"/>
      <c r="AG27" s="64"/>
      <c r="AH27" s="68"/>
      <c r="AI27" s="69"/>
      <c r="AJ27" s="69"/>
      <c r="AK27" s="70"/>
      <c r="AL27" s="60"/>
    </row>
    <row r="28" spans="5:38" ht="14.1" customHeight="1" x14ac:dyDescent="0.15">
      <c r="U28" s="3"/>
      <c r="V28" s="3"/>
      <c r="W28" s="3" t="s">
        <v>48</v>
      </c>
      <c r="X28" s="4">
        <v>6539</v>
      </c>
      <c r="Y28" s="3"/>
      <c r="Z28" s="4">
        <v>2017</v>
      </c>
      <c r="AA28" s="4">
        <v>11060</v>
      </c>
      <c r="AB28" s="4">
        <v>2880</v>
      </c>
      <c r="AC28" s="5" t="s">
        <v>41</v>
      </c>
      <c r="AD28" s="3" t="s">
        <v>42</v>
      </c>
      <c r="AE28" s="126"/>
      <c r="AF28" s="126"/>
      <c r="AG28" s="71"/>
      <c r="AH28" s="72"/>
      <c r="AI28" s="73"/>
      <c r="AJ28" s="73"/>
      <c r="AK28" s="74"/>
      <c r="AL28" s="60"/>
    </row>
    <row r="29" spans="5:38" ht="14.1" customHeight="1" x14ac:dyDescent="0.15">
      <c r="U29" s="3"/>
      <c r="V29" s="3"/>
      <c r="W29" s="3" t="s">
        <v>49</v>
      </c>
      <c r="X29" s="4">
        <v>5635</v>
      </c>
      <c r="Y29" s="3"/>
      <c r="Z29" s="4">
        <v>1043</v>
      </c>
      <c r="AA29" s="4">
        <v>10228</v>
      </c>
      <c r="AB29" s="4">
        <v>2482</v>
      </c>
      <c r="AC29" s="5" t="s">
        <v>46</v>
      </c>
      <c r="AD29" s="3" t="s">
        <v>47</v>
      </c>
      <c r="AE29" s="126" t="s">
        <v>228</v>
      </c>
      <c r="AF29" s="129" t="s">
        <v>5</v>
      </c>
      <c r="AG29" s="81" t="s">
        <v>6</v>
      </c>
      <c r="AH29" s="82">
        <v>10.107551269542851</v>
      </c>
      <c r="AI29" s="83">
        <v>0.11023677935925714</v>
      </c>
      <c r="AJ29" s="83">
        <v>-1.1166277994949692</v>
      </c>
      <c r="AK29" s="84">
        <v>21.33173033858067</v>
      </c>
      <c r="AL29" s="60"/>
    </row>
    <row r="30" spans="5:38" ht="14.1" customHeight="1" x14ac:dyDescent="0.15">
      <c r="O30" s="21"/>
      <c r="T30" s="3"/>
      <c r="U30" s="3"/>
      <c r="V30" s="3" t="s">
        <v>50</v>
      </c>
      <c r="W30" s="4">
        <v>4470</v>
      </c>
      <c r="X30" s="3"/>
      <c r="Y30" s="5" t="s">
        <v>66</v>
      </c>
      <c r="Z30" s="4">
        <v>9062</v>
      </c>
      <c r="AA30" s="4">
        <v>1969</v>
      </c>
      <c r="AB30" s="5" t="s">
        <v>67</v>
      </c>
      <c r="AC30" s="3"/>
      <c r="AE30" s="127"/>
      <c r="AF30" s="130"/>
      <c r="AG30" s="81" t="s">
        <v>7</v>
      </c>
      <c r="AH30" s="85" t="s">
        <v>257</v>
      </c>
      <c r="AI30" s="83">
        <v>9.9744516741447423E-3</v>
      </c>
      <c r="AJ30" s="83">
        <v>2.0911076115050289</v>
      </c>
      <c r="AK30" s="84">
        <v>24.539465749580671</v>
      </c>
      <c r="AL30" s="60"/>
    </row>
    <row r="31" spans="5:38" ht="14.1" customHeight="1" x14ac:dyDescent="0.15">
      <c r="T31" s="3"/>
      <c r="U31" s="3"/>
      <c r="V31" s="3" t="s">
        <v>53</v>
      </c>
      <c r="W31" s="4">
        <v>6292</v>
      </c>
      <c r="X31" s="3"/>
      <c r="Y31" s="4">
        <v>1771</v>
      </c>
      <c r="Z31" s="4">
        <v>10813</v>
      </c>
      <c r="AA31" s="4">
        <v>2771</v>
      </c>
      <c r="AB31" s="5" t="s">
        <v>41</v>
      </c>
      <c r="AC31" s="3" t="s">
        <v>42</v>
      </c>
      <c r="AE31" s="127"/>
      <c r="AF31" s="130"/>
      <c r="AG31" s="81" t="s">
        <v>8</v>
      </c>
      <c r="AH31" s="82">
        <v>10.235950276542887</v>
      </c>
      <c r="AI31" s="83">
        <v>0.1009237963450369</v>
      </c>
      <c r="AJ31" s="83">
        <v>-0.98822879249494022</v>
      </c>
      <c r="AK31" s="84">
        <v>21.460129345580714</v>
      </c>
      <c r="AL31" s="60"/>
    </row>
    <row r="32" spans="5:38" ht="14.1" customHeight="1" x14ac:dyDescent="0.15">
      <c r="T32" s="3"/>
      <c r="U32" s="3"/>
      <c r="V32" s="3" t="s">
        <v>54</v>
      </c>
      <c r="W32" s="4">
        <v>6154</v>
      </c>
      <c r="X32" s="3"/>
      <c r="Y32" s="4">
        <v>1562</v>
      </c>
      <c r="Z32" s="4">
        <v>10747</v>
      </c>
      <c r="AA32" s="4">
        <v>2711</v>
      </c>
      <c r="AB32" s="5" t="s">
        <v>41</v>
      </c>
      <c r="AC32" s="3" t="s">
        <v>42</v>
      </c>
      <c r="AE32" s="127"/>
      <c r="AF32" s="129"/>
      <c r="AG32" s="86" t="s">
        <v>227</v>
      </c>
      <c r="AH32" s="87" t="s">
        <v>258</v>
      </c>
      <c r="AI32" s="88">
        <v>3.5564552241242157E-2</v>
      </c>
      <c r="AJ32" s="88">
        <v>0.46036806479071402</v>
      </c>
      <c r="AK32" s="89">
        <v>22.908726202866369</v>
      </c>
      <c r="AL32" s="60"/>
    </row>
    <row r="33" spans="20:38" ht="14.1" customHeight="1" x14ac:dyDescent="0.15">
      <c r="T33" s="3"/>
      <c r="U33" s="3"/>
      <c r="V33" s="3" t="s">
        <v>55</v>
      </c>
      <c r="W33" s="4">
        <v>4470</v>
      </c>
      <c r="X33" s="3"/>
      <c r="Y33" s="5" t="s">
        <v>66</v>
      </c>
      <c r="Z33" s="4">
        <v>9062</v>
      </c>
      <c r="AA33" s="4">
        <v>1969</v>
      </c>
      <c r="AB33" s="5" t="s">
        <v>67</v>
      </c>
      <c r="AC33" s="3"/>
      <c r="AE33" s="127"/>
      <c r="AF33" s="126" t="s">
        <v>6</v>
      </c>
      <c r="AG33" s="64" t="s">
        <v>5</v>
      </c>
      <c r="AH33" s="65">
        <v>-10.107551269542851</v>
      </c>
      <c r="AI33" s="66">
        <v>0.11023677935925714</v>
      </c>
      <c r="AJ33" s="66">
        <v>-21.33173033858067</v>
      </c>
      <c r="AK33" s="67">
        <v>1.1166277994949692</v>
      </c>
      <c r="AL33" s="60"/>
    </row>
    <row r="34" spans="20:38" ht="14.1" customHeight="1" x14ac:dyDescent="0.15">
      <c r="T34" s="3"/>
      <c r="U34" s="3"/>
      <c r="V34" s="3" t="s">
        <v>56</v>
      </c>
      <c r="W34" s="4">
        <v>7763</v>
      </c>
      <c r="X34" s="3"/>
      <c r="Y34" s="4">
        <v>3241</v>
      </c>
      <c r="Z34" s="4">
        <v>12284</v>
      </c>
      <c r="AA34" s="4">
        <v>3419</v>
      </c>
      <c r="AB34" s="5" t="s">
        <v>41</v>
      </c>
      <c r="AC34" s="3" t="s">
        <v>42</v>
      </c>
      <c r="AE34" s="127"/>
      <c r="AF34" s="127"/>
      <c r="AG34" s="64" t="s">
        <v>7</v>
      </c>
      <c r="AH34" s="65">
        <v>3.207735410999998</v>
      </c>
      <c r="AI34" s="66">
        <v>1</v>
      </c>
      <c r="AJ34" s="66">
        <v>-7.0384913649822618</v>
      </c>
      <c r="AK34" s="67">
        <v>13.453962186982258</v>
      </c>
      <c r="AL34" s="60"/>
    </row>
    <row r="35" spans="20:38" ht="14.1" customHeight="1" x14ac:dyDescent="0.15">
      <c r="T35" s="3"/>
      <c r="U35" s="3"/>
      <c r="V35" s="3" t="s">
        <v>57</v>
      </c>
      <c r="W35" s="4">
        <v>6653</v>
      </c>
      <c r="X35" s="3"/>
      <c r="Y35" s="4">
        <v>2060</v>
      </c>
      <c r="Z35" s="4">
        <v>11245</v>
      </c>
      <c r="AA35" s="4">
        <v>2930</v>
      </c>
      <c r="AB35" s="5" t="s">
        <v>41</v>
      </c>
      <c r="AC35" s="3" t="s">
        <v>42</v>
      </c>
      <c r="AE35" s="127"/>
      <c r="AF35" s="127"/>
      <c r="AG35" s="64" t="s">
        <v>8</v>
      </c>
      <c r="AH35" s="65">
        <v>0.12839900700003626</v>
      </c>
      <c r="AI35" s="66">
        <v>1</v>
      </c>
      <c r="AJ35" s="66">
        <v>-10.11782776898222</v>
      </c>
      <c r="AK35" s="67">
        <v>10.374625782982292</v>
      </c>
      <c r="AL35" s="60"/>
    </row>
    <row r="36" spans="20:38" ht="14.1" customHeight="1" x14ac:dyDescent="0.15">
      <c r="T36" s="3"/>
      <c r="U36" s="3"/>
      <c r="V36" s="3" t="s">
        <v>58</v>
      </c>
      <c r="W36" s="4">
        <v>7333</v>
      </c>
      <c r="X36" s="3"/>
      <c r="Y36" s="4">
        <v>2741</v>
      </c>
      <c r="Z36" s="4">
        <v>11926</v>
      </c>
      <c r="AA36" s="4">
        <v>3230</v>
      </c>
      <c r="AB36" s="5" t="s">
        <v>41</v>
      </c>
      <c r="AC36" s="3" t="s">
        <v>42</v>
      </c>
      <c r="AE36" s="127"/>
      <c r="AF36" s="126"/>
      <c r="AG36" s="71" t="s">
        <v>227</v>
      </c>
      <c r="AH36" s="77">
        <v>1.5769958642856903</v>
      </c>
      <c r="AI36" s="75">
        <v>1</v>
      </c>
      <c r="AJ36" s="75">
        <v>-8.6692309116965607</v>
      </c>
      <c r="AK36" s="76">
        <v>11.823222640267941</v>
      </c>
      <c r="AL36" s="60"/>
    </row>
    <row r="37" spans="20:38" ht="14.1" customHeight="1" x14ac:dyDescent="0.15">
      <c r="T37" s="3"/>
      <c r="U37" s="3"/>
      <c r="V37" s="3" t="s">
        <v>59</v>
      </c>
      <c r="W37" s="4">
        <v>7669</v>
      </c>
      <c r="X37" s="3"/>
      <c r="Y37" s="4">
        <v>3148</v>
      </c>
      <c r="Z37" s="4">
        <v>12190</v>
      </c>
      <c r="AA37" s="4">
        <v>3378</v>
      </c>
      <c r="AB37" s="5" t="s">
        <v>41</v>
      </c>
      <c r="AC37" s="3" t="s">
        <v>42</v>
      </c>
      <c r="AE37" s="127"/>
      <c r="AF37" s="126" t="s">
        <v>7</v>
      </c>
      <c r="AG37" s="64" t="s">
        <v>5</v>
      </c>
      <c r="AH37" s="68" t="s">
        <v>259</v>
      </c>
      <c r="AI37" s="66">
        <v>9.9744516741447423E-3</v>
      </c>
      <c r="AJ37" s="66">
        <v>-24.539465749580671</v>
      </c>
      <c r="AK37" s="67">
        <v>-2.0911076115050289</v>
      </c>
      <c r="AL37" s="60"/>
    </row>
    <row r="38" spans="20:38" ht="14.1" customHeight="1" x14ac:dyDescent="0.15">
      <c r="T38" s="3"/>
      <c r="U38" s="3"/>
      <c r="V38" s="3" t="s">
        <v>60</v>
      </c>
      <c r="W38" s="4">
        <v>9856</v>
      </c>
      <c r="X38" s="3"/>
      <c r="Y38" s="4">
        <v>5264</v>
      </c>
      <c r="Z38" s="4">
        <v>14449</v>
      </c>
      <c r="AA38" s="4">
        <v>4341</v>
      </c>
      <c r="AB38" s="5" t="s">
        <v>41</v>
      </c>
      <c r="AC38" s="3" t="s">
        <v>42</v>
      </c>
      <c r="AE38" s="127"/>
      <c r="AF38" s="127"/>
      <c r="AG38" s="64" t="s">
        <v>6</v>
      </c>
      <c r="AH38" s="65">
        <v>-3.207735410999998</v>
      </c>
      <c r="AI38" s="66">
        <v>1</v>
      </c>
      <c r="AJ38" s="66">
        <v>-13.453962186982258</v>
      </c>
      <c r="AK38" s="67">
        <v>7.0384913649822618</v>
      </c>
      <c r="AL38" s="60"/>
    </row>
    <row r="39" spans="20:38" ht="14.1" customHeight="1" x14ac:dyDescent="0.15">
      <c r="T39" s="3" t="s">
        <v>33</v>
      </c>
      <c r="U39" s="3"/>
      <c r="V39" s="3" t="s">
        <v>34</v>
      </c>
      <c r="W39" s="4">
        <v>4271</v>
      </c>
      <c r="X39" s="3"/>
      <c r="Y39" s="5" t="s">
        <v>62</v>
      </c>
      <c r="Z39" s="4">
        <v>8864</v>
      </c>
      <c r="AA39" s="4">
        <v>1881</v>
      </c>
      <c r="AB39" s="5" t="s">
        <v>63</v>
      </c>
      <c r="AC39" s="3"/>
      <c r="AE39" s="127"/>
      <c r="AF39" s="127"/>
      <c r="AG39" s="64" t="s">
        <v>8</v>
      </c>
      <c r="AH39" s="65">
        <v>-3.079336403999962</v>
      </c>
      <c r="AI39" s="66">
        <v>1</v>
      </c>
      <c r="AJ39" s="66">
        <v>-13.325563179982222</v>
      </c>
      <c r="AK39" s="67">
        <v>7.1668903719822978</v>
      </c>
      <c r="AL39" s="60"/>
    </row>
    <row r="40" spans="20:38" ht="14.1" customHeight="1" x14ac:dyDescent="0.15">
      <c r="T40" s="3"/>
      <c r="U40" s="3"/>
      <c r="V40" s="3" t="s">
        <v>37</v>
      </c>
      <c r="W40" s="4">
        <v>3490</v>
      </c>
      <c r="X40" s="3"/>
      <c r="Y40" s="4">
        <v>-1103</v>
      </c>
      <c r="Z40" s="4">
        <v>8082</v>
      </c>
      <c r="AA40" s="4">
        <v>1537</v>
      </c>
      <c r="AB40" s="5" t="s">
        <v>38</v>
      </c>
      <c r="AC40" s="3"/>
      <c r="AE40" s="127"/>
      <c r="AF40" s="126"/>
      <c r="AG40" s="71" t="s">
        <v>227</v>
      </c>
      <c r="AH40" s="77">
        <v>-1.6307395467143078</v>
      </c>
      <c r="AI40" s="75">
        <v>1</v>
      </c>
      <c r="AJ40" s="75">
        <v>-11.876966322696564</v>
      </c>
      <c r="AK40" s="76">
        <v>8.6154872292679485</v>
      </c>
      <c r="AL40" s="60"/>
    </row>
    <row r="41" spans="20:38" ht="14.1" customHeight="1" x14ac:dyDescent="0.15">
      <c r="T41" s="3"/>
      <c r="U41" s="3"/>
      <c r="V41" s="3" t="s">
        <v>39</v>
      </c>
      <c r="W41" s="4">
        <v>2296</v>
      </c>
      <c r="X41" s="3"/>
      <c r="Y41" s="4">
        <v>-2226</v>
      </c>
      <c r="Z41" s="4">
        <v>6817</v>
      </c>
      <c r="AA41" s="4">
        <v>1011</v>
      </c>
      <c r="AB41" s="4">
        <v>1000</v>
      </c>
      <c r="AC41" s="3"/>
      <c r="AE41" s="127"/>
      <c r="AF41" s="126" t="s">
        <v>8</v>
      </c>
      <c r="AG41" s="64" t="s">
        <v>5</v>
      </c>
      <c r="AH41" s="65">
        <v>-10.235950276542887</v>
      </c>
      <c r="AI41" s="66">
        <v>0.1009237963450369</v>
      </c>
      <c r="AJ41" s="66">
        <v>-21.460129345580714</v>
      </c>
      <c r="AK41" s="67">
        <v>0.98822879249494022</v>
      </c>
      <c r="AL41" s="60"/>
    </row>
    <row r="42" spans="20:38" ht="14.1" customHeight="1" x14ac:dyDescent="0.15">
      <c r="T42" s="3"/>
      <c r="U42" s="3"/>
      <c r="V42" s="3" t="s">
        <v>40</v>
      </c>
      <c r="W42" s="4">
        <v>7753</v>
      </c>
      <c r="X42" s="3"/>
      <c r="Y42" s="4">
        <v>3161</v>
      </c>
      <c r="Z42" s="4">
        <v>12346</v>
      </c>
      <c r="AA42" s="4">
        <v>3415</v>
      </c>
      <c r="AB42" s="5" t="s">
        <v>41</v>
      </c>
      <c r="AC42" s="3" t="s">
        <v>42</v>
      </c>
      <c r="AE42" s="127"/>
      <c r="AF42" s="127"/>
      <c r="AG42" s="64" t="s">
        <v>6</v>
      </c>
      <c r="AH42" s="65">
        <v>-0.12839900700003626</v>
      </c>
      <c r="AI42" s="66">
        <v>1</v>
      </c>
      <c r="AJ42" s="66">
        <v>-10.374625782982292</v>
      </c>
      <c r="AK42" s="67">
        <v>10.11782776898222</v>
      </c>
      <c r="AL42" s="60"/>
    </row>
    <row r="43" spans="20:38" ht="14.1" customHeight="1" x14ac:dyDescent="0.15">
      <c r="T43" s="3"/>
      <c r="U43" s="3"/>
      <c r="V43" s="3" t="s">
        <v>43</v>
      </c>
      <c r="W43" s="4">
        <v>8738</v>
      </c>
      <c r="X43" s="3"/>
      <c r="Y43" s="4">
        <v>4146</v>
      </c>
      <c r="Z43" s="4">
        <v>13331</v>
      </c>
      <c r="AA43" s="4">
        <v>3849</v>
      </c>
      <c r="AB43" s="5" t="s">
        <v>41</v>
      </c>
      <c r="AC43" s="3" t="s">
        <v>42</v>
      </c>
      <c r="AE43" s="127"/>
      <c r="AF43" s="127"/>
      <c r="AG43" s="64" t="s">
        <v>7</v>
      </c>
      <c r="AH43" s="65">
        <v>3.079336403999962</v>
      </c>
      <c r="AI43" s="66">
        <v>1</v>
      </c>
      <c r="AJ43" s="66">
        <v>-7.1668903719822978</v>
      </c>
      <c r="AK43" s="67">
        <v>13.325563179982222</v>
      </c>
      <c r="AL43" s="60"/>
    </row>
    <row r="44" spans="20:38" ht="14.1" customHeight="1" x14ac:dyDescent="0.15">
      <c r="T44" s="3"/>
      <c r="U44" s="3"/>
      <c r="V44" s="3" t="s">
        <v>44</v>
      </c>
      <c r="W44" s="4">
        <v>8893</v>
      </c>
      <c r="X44" s="3"/>
      <c r="Y44" s="4">
        <v>4372</v>
      </c>
      <c r="Z44" s="4">
        <v>13415</v>
      </c>
      <c r="AA44" s="4">
        <v>3917</v>
      </c>
      <c r="AB44" s="5" t="s">
        <v>41</v>
      </c>
      <c r="AC44" s="3" t="s">
        <v>42</v>
      </c>
      <c r="AE44" s="127"/>
      <c r="AF44" s="126"/>
      <c r="AG44" s="71" t="s">
        <v>227</v>
      </c>
      <c r="AH44" s="77">
        <v>1.448596857285654</v>
      </c>
      <c r="AI44" s="75">
        <v>1</v>
      </c>
      <c r="AJ44" s="75">
        <v>-8.7976299186966127</v>
      </c>
      <c r="AK44" s="76">
        <v>11.694823633267921</v>
      </c>
      <c r="AL44" s="60"/>
    </row>
    <row r="45" spans="20:38" ht="14.1" customHeight="1" x14ac:dyDescent="0.15">
      <c r="T45" s="3"/>
      <c r="U45" s="3"/>
      <c r="V45" s="3" t="s">
        <v>45</v>
      </c>
      <c r="W45" s="4">
        <v>5577</v>
      </c>
      <c r="X45" s="3"/>
      <c r="Y45" s="5" t="s">
        <v>65</v>
      </c>
      <c r="Z45" s="4">
        <v>10169</v>
      </c>
      <c r="AA45" s="4">
        <v>2456</v>
      </c>
      <c r="AB45" s="5" t="s">
        <v>46</v>
      </c>
      <c r="AC45" s="3" t="s">
        <v>47</v>
      </c>
      <c r="AE45" s="127"/>
      <c r="AF45" s="126" t="s">
        <v>227</v>
      </c>
      <c r="AG45" s="64" t="s">
        <v>5</v>
      </c>
      <c r="AH45" s="68" t="s">
        <v>260</v>
      </c>
      <c r="AI45" s="66">
        <v>3.5564552241242157E-2</v>
      </c>
      <c r="AJ45" s="66">
        <v>-22.908726202866369</v>
      </c>
      <c r="AK45" s="67">
        <v>-0.46036806479071402</v>
      </c>
      <c r="AL45" s="60"/>
    </row>
    <row r="46" spans="20:38" ht="14.1" customHeight="1" x14ac:dyDescent="0.15">
      <c r="T46" s="3"/>
      <c r="U46" s="3"/>
      <c r="V46" s="3" t="s">
        <v>48</v>
      </c>
      <c r="W46" s="4">
        <v>6539</v>
      </c>
      <c r="X46" s="3"/>
      <c r="Y46" s="4">
        <v>1946</v>
      </c>
      <c r="Z46" s="4">
        <v>11131</v>
      </c>
      <c r="AA46" s="4">
        <v>2880</v>
      </c>
      <c r="AB46" s="5" t="s">
        <v>41</v>
      </c>
      <c r="AC46" s="3" t="s">
        <v>42</v>
      </c>
      <c r="AE46" s="127"/>
      <c r="AF46" s="127"/>
      <c r="AG46" s="64" t="s">
        <v>6</v>
      </c>
      <c r="AH46" s="65">
        <v>-1.5769958642856903</v>
      </c>
      <c r="AI46" s="66">
        <v>1</v>
      </c>
      <c r="AJ46" s="66">
        <v>-11.823222640267941</v>
      </c>
      <c r="AK46" s="67">
        <v>8.6692309116965607</v>
      </c>
      <c r="AL46" s="60"/>
    </row>
    <row r="47" spans="20:38" ht="14.1" customHeight="1" x14ac:dyDescent="0.15">
      <c r="T47" s="3"/>
      <c r="U47" s="3"/>
      <c r="V47" s="3" t="s">
        <v>49</v>
      </c>
      <c r="W47" s="4">
        <v>5635</v>
      </c>
      <c r="X47" s="3"/>
      <c r="Y47" s="4">
        <v>1114</v>
      </c>
      <c r="Z47" s="4">
        <v>10156</v>
      </c>
      <c r="AA47" s="4">
        <v>2482</v>
      </c>
      <c r="AB47" s="5" t="s">
        <v>68</v>
      </c>
      <c r="AC47" s="3" t="s">
        <v>47</v>
      </c>
      <c r="AE47" s="127"/>
      <c r="AF47" s="127"/>
      <c r="AG47" s="64" t="s">
        <v>7</v>
      </c>
      <c r="AH47" s="65">
        <v>1.6307395467143078</v>
      </c>
      <c r="AI47" s="66">
        <v>1</v>
      </c>
      <c r="AJ47" s="66">
        <v>-8.6154872292679485</v>
      </c>
      <c r="AK47" s="67">
        <v>11.876966322696564</v>
      </c>
      <c r="AL47" s="60"/>
    </row>
    <row r="48" spans="20:38" ht="14.1" customHeight="1" x14ac:dyDescent="0.15">
      <c r="T48" s="3"/>
      <c r="U48" s="3"/>
      <c r="V48" s="3" t="s">
        <v>50</v>
      </c>
      <c r="W48" s="4">
        <v>4470</v>
      </c>
      <c r="X48" s="3"/>
      <c r="Y48" s="5" t="s">
        <v>66</v>
      </c>
      <c r="Z48" s="4">
        <v>9062</v>
      </c>
      <c r="AA48" s="4">
        <v>1969</v>
      </c>
      <c r="AB48" s="5" t="s">
        <v>67</v>
      </c>
      <c r="AC48" s="3"/>
      <c r="AE48" s="126"/>
      <c r="AF48" s="126"/>
      <c r="AG48" s="71" t="s">
        <v>8</v>
      </c>
      <c r="AH48" s="77">
        <v>-1.448596857285654</v>
      </c>
      <c r="AI48" s="75">
        <v>1</v>
      </c>
      <c r="AJ48" s="75">
        <v>-11.694823633267921</v>
      </c>
      <c r="AK48" s="76">
        <v>8.7976299186966127</v>
      </c>
      <c r="AL48" s="60"/>
    </row>
    <row r="49" spans="20:38" ht="14.1" customHeight="1" x14ac:dyDescent="0.15">
      <c r="T49" s="3"/>
      <c r="U49" s="3"/>
      <c r="V49" s="3" t="s">
        <v>53</v>
      </c>
      <c r="W49" s="4">
        <v>6292</v>
      </c>
      <c r="X49" s="3"/>
      <c r="Y49" s="4">
        <v>1700</v>
      </c>
      <c r="Z49" s="4">
        <v>10885</v>
      </c>
      <c r="AA49" s="4">
        <v>2771</v>
      </c>
      <c r="AB49" s="5" t="s">
        <v>41</v>
      </c>
      <c r="AC49" s="3" t="s">
        <v>42</v>
      </c>
      <c r="AE49" s="126" t="s">
        <v>229</v>
      </c>
      <c r="AF49" s="129" t="s">
        <v>5</v>
      </c>
      <c r="AG49" s="81" t="s">
        <v>6</v>
      </c>
      <c r="AH49" s="85" t="s">
        <v>261</v>
      </c>
      <c r="AI49" s="83">
        <v>6.8988582517871431E-3</v>
      </c>
      <c r="AJ49" s="83">
        <v>2.6277651504271162</v>
      </c>
      <c r="AK49" s="84">
        <v>23.650039050715751</v>
      </c>
      <c r="AL49" s="60"/>
    </row>
    <row r="50" spans="20:38" ht="14.1" customHeight="1" x14ac:dyDescent="0.15">
      <c r="T50" s="3"/>
      <c r="U50" s="3"/>
      <c r="V50" s="3" t="s">
        <v>54</v>
      </c>
      <c r="W50" s="4">
        <v>6154</v>
      </c>
      <c r="X50" s="3"/>
      <c r="Y50" s="4">
        <v>1633</v>
      </c>
      <c r="Z50" s="4">
        <v>10676</v>
      </c>
      <c r="AA50" s="4">
        <v>2711</v>
      </c>
      <c r="AB50" s="5" t="s">
        <v>41</v>
      </c>
      <c r="AC50" s="3" t="s">
        <v>42</v>
      </c>
      <c r="AE50" s="127"/>
      <c r="AF50" s="130"/>
      <c r="AG50" s="81" t="s">
        <v>7</v>
      </c>
      <c r="AH50" s="85" t="s">
        <v>262</v>
      </c>
      <c r="AI50" s="83">
        <v>3.9110061359105928E-4</v>
      </c>
      <c r="AJ50" s="83">
        <v>5.9782359869985484</v>
      </c>
      <c r="AK50" s="84">
        <v>27.00050988728718</v>
      </c>
      <c r="AL50" s="60"/>
    </row>
    <row r="51" spans="20:38" ht="14.1" customHeight="1" x14ac:dyDescent="0.15">
      <c r="T51" s="3"/>
      <c r="U51" s="3"/>
      <c r="V51" s="3" t="s">
        <v>55</v>
      </c>
      <c r="W51" s="4">
        <v>4470</v>
      </c>
      <c r="X51" s="3"/>
      <c r="Y51" s="5" t="s">
        <v>66</v>
      </c>
      <c r="Z51" s="4">
        <v>9062</v>
      </c>
      <c r="AA51" s="4">
        <v>1969</v>
      </c>
      <c r="AB51" s="5" t="s">
        <v>67</v>
      </c>
      <c r="AC51" s="3"/>
      <c r="AE51" s="127"/>
      <c r="AF51" s="130"/>
      <c r="AG51" s="81" t="s">
        <v>8</v>
      </c>
      <c r="AH51" s="82">
        <v>6.7867197621428268</v>
      </c>
      <c r="AI51" s="83">
        <v>0.50163072928985131</v>
      </c>
      <c r="AJ51" s="83">
        <v>-3.7244171880014925</v>
      </c>
      <c r="AK51" s="84">
        <v>17.297856712287146</v>
      </c>
      <c r="AL51" s="60"/>
    </row>
    <row r="52" spans="20:38" ht="14.1" customHeight="1" x14ac:dyDescent="0.15">
      <c r="T52" s="3"/>
      <c r="U52" s="3"/>
      <c r="V52" s="3" t="s">
        <v>56</v>
      </c>
      <c r="W52" s="4">
        <v>7763</v>
      </c>
      <c r="X52" s="3"/>
      <c r="Y52" s="4">
        <v>3170</v>
      </c>
      <c r="Z52" s="4">
        <v>12355</v>
      </c>
      <c r="AA52" s="4">
        <v>3419</v>
      </c>
      <c r="AB52" s="5" t="s">
        <v>41</v>
      </c>
      <c r="AC52" s="3" t="s">
        <v>42</v>
      </c>
      <c r="AE52" s="127"/>
      <c r="AF52" s="129"/>
      <c r="AG52" s="86" t="s">
        <v>227</v>
      </c>
      <c r="AH52" s="87" t="s">
        <v>237</v>
      </c>
      <c r="AI52" s="96"/>
      <c r="AJ52" s="96"/>
      <c r="AK52" s="97"/>
      <c r="AL52" s="60"/>
    </row>
    <row r="53" spans="20:38" ht="14.1" customHeight="1" x14ac:dyDescent="0.15">
      <c r="T53" s="3"/>
      <c r="U53" s="3"/>
      <c r="V53" s="3" t="s">
        <v>57</v>
      </c>
      <c r="W53" s="4">
        <v>6653</v>
      </c>
      <c r="X53" s="3"/>
      <c r="Y53" s="4">
        <v>2131</v>
      </c>
      <c r="Z53" s="4">
        <v>11174</v>
      </c>
      <c r="AA53" s="4">
        <v>2930</v>
      </c>
      <c r="AB53" s="5" t="s">
        <v>41</v>
      </c>
      <c r="AC53" s="3" t="s">
        <v>42</v>
      </c>
      <c r="AE53" s="127"/>
      <c r="AF53" s="126" t="s">
        <v>6</v>
      </c>
      <c r="AG53" s="64" t="s">
        <v>5</v>
      </c>
      <c r="AH53" s="68" t="s">
        <v>263</v>
      </c>
      <c r="AI53" s="66">
        <v>6.8988582517871431E-3</v>
      </c>
      <c r="AJ53" s="66">
        <v>-23.650039050715751</v>
      </c>
      <c r="AK53" s="67">
        <v>-2.6277651504271162</v>
      </c>
      <c r="AL53" s="60"/>
    </row>
    <row r="54" spans="20:38" ht="14.1" customHeight="1" x14ac:dyDescent="0.15">
      <c r="T54" s="3"/>
      <c r="U54" s="3"/>
      <c r="V54" s="3" t="s">
        <v>58</v>
      </c>
      <c r="W54" s="4">
        <v>7333</v>
      </c>
      <c r="X54" s="3"/>
      <c r="Y54" s="4">
        <v>2741</v>
      </c>
      <c r="Z54" s="4">
        <v>11926</v>
      </c>
      <c r="AA54" s="4">
        <v>3230</v>
      </c>
      <c r="AB54" s="5" t="s">
        <v>41</v>
      </c>
      <c r="AC54" s="3" t="s">
        <v>42</v>
      </c>
      <c r="AE54" s="127"/>
      <c r="AF54" s="127"/>
      <c r="AG54" s="64" t="s">
        <v>7</v>
      </c>
      <c r="AH54" s="65">
        <v>3.3504708365714304</v>
      </c>
      <c r="AI54" s="66">
        <v>1</v>
      </c>
      <c r="AJ54" s="66">
        <v>-6.2448405177953941</v>
      </c>
      <c r="AK54" s="67">
        <v>12.945782190938255</v>
      </c>
      <c r="AL54" s="60"/>
    </row>
    <row r="55" spans="20:38" ht="14.1" customHeight="1" x14ac:dyDescent="0.15">
      <c r="T55" s="3"/>
      <c r="U55" s="3"/>
      <c r="V55" s="3" t="s">
        <v>59</v>
      </c>
      <c r="W55" s="4">
        <v>7669</v>
      </c>
      <c r="X55" s="3"/>
      <c r="Y55" s="4">
        <v>3076</v>
      </c>
      <c r="Z55" s="4">
        <v>12261</v>
      </c>
      <c r="AA55" s="4">
        <v>3378</v>
      </c>
      <c r="AB55" s="5" t="s">
        <v>41</v>
      </c>
      <c r="AC55" s="3" t="s">
        <v>42</v>
      </c>
      <c r="AE55" s="127"/>
      <c r="AF55" s="127"/>
      <c r="AG55" s="64" t="s">
        <v>8</v>
      </c>
      <c r="AH55" s="65">
        <v>-6.3521823384286069</v>
      </c>
      <c r="AI55" s="66">
        <v>0.45748323206046149</v>
      </c>
      <c r="AJ55" s="66">
        <v>-15.947493692795442</v>
      </c>
      <c r="AK55" s="67">
        <v>3.2431290159382282</v>
      </c>
      <c r="AL55" s="60"/>
    </row>
    <row r="56" spans="20:38" ht="14.1" customHeight="1" x14ac:dyDescent="0.15">
      <c r="T56" s="3"/>
      <c r="U56" s="3"/>
      <c r="V56" s="3" t="s">
        <v>60</v>
      </c>
      <c r="W56" s="4">
        <v>9856</v>
      </c>
      <c r="X56" s="3"/>
      <c r="Y56" s="4">
        <v>5335</v>
      </c>
      <c r="Z56" s="4">
        <v>14377</v>
      </c>
      <c r="AA56" s="4">
        <v>4341</v>
      </c>
      <c r="AB56" s="5" t="s">
        <v>41</v>
      </c>
      <c r="AC56" s="3" t="s">
        <v>42</v>
      </c>
      <c r="AE56" s="127"/>
      <c r="AF56" s="126"/>
      <c r="AG56" s="71" t="s">
        <v>227</v>
      </c>
      <c r="AH56" s="72" t="s">
        <v>237</v>
      </c>
      <c r="AI56" s="73"/>
      <c r="AJ56" s="73"/>
      <c r="AK56" s="74"/>
      <c r="AL56" s="60"/>
    </row>
    <row r="57" spans="20:38" ht="14.1" customHeight="1" x14ac:dyDescent="0.15">
      <c r="T57" s="3" t="s">
        <v>34</v>
      </c>
      <c r="U57" s="3"/>
      <c r="V57" s="3" t="s">
        <v>37</v>
      </c>
      <c r="W57" s="5" t="s">
        <v>69</v>
      </c>
      <c r="X57" s="3"/>
      <c r="Y57" s="4">
        <v>-5374</v>
      </c>
      <c r="Z57" s="4">
        <v>3811</v>
      </c>
      <c r="AA57" s="5" t="s">
        <v>70</v>
      </c>
      <c r="AB57" s="4">
        <v>1000</v>
      </c>
      <c r="AC57" s="3"/>
      <c r="AE57" s="127"/>
      <c r="AF57" s="126" t="s">
        <v>7</v>
      </c>
      <c r="AG57" s="64" t="s">
        <v>5</v>
      </c>
      <c r="AH57" s="68" t="s">
        <v>264</v>
      </c>
      <c r="AI57" s="66">
        <v>3.9110061359105928E-4</v>
      </c>
      <c r="AJ57" s="66">
        <v>-27.00050988728718</v>
      </c>
      <c r="AK57" s="67">
        <v>-5.9782359869985484</v>
      </c>
      <c r="AL57" s="60"/>
    </row>
    <row r="58" spans="20:38" ht="14.1" customHeight="1" x14ac:dyDescent="0.15">
      <c r="T58" s="3"/>
      <c r="U58" s="3"/>
      <c r="V58" s="3" t="s">
        <v>39</v>
      </c>
      <c r="W58" s="4">
        <v>-1976</v>
      </c>
      <c r="X58" s="3"/>
      <c r="Y58" s="4">
        <v>-6568</v>
      </c>
      <c r="Z58" s="4">
        <v>2617</v>
      </c>
      <c r="AA58" s="5" t="s">
        <v>71</v>
      </c>
      <c r="AB58" s="4">
        <v>1000</v>
      </c>
      <c r="AC58" s="3"/>
      <c r="AE58" s="127"/>
      <c r="AF58" s="127"/>
      <c r="AG58" s="64" t="s">
        <v>6</v>
      </c>
      <c r="AH58" s="65">
        <v>-3.3504708365714304</v>
      </c>
      <c r="AI58" s="66">
        <v>1</v>
      </c>
      <c r="AJ58" s="66">
        <v>-12.945782190938255</v>
      </c>
      <c r="AK58" s="67">
        <v>6.2448405177953941</v>
      </c>
      <c r="AL58" s="60"/>
    </row>
    <row r="59" spans="20:38" ht="14.1" customHeight="1" x14ac:dyDescent="0.15">
      <c r="T59" s="3"/>
      <c r="U59" s="3"/>
      <c r="V59" s="3" t="s">
        <v>40</v>
      </c>
      <c r="W59" s="4">
        <v>3482</v>
      </c>
      <c r="X59" s="3"/>
      <c r="Y59" s="4">
        <v>-1039</v>
      </c>
      <c r="Z59" s="4">
        <v>8003</v>
      </c>
      <c r="AA59" s="4">
        <v>1534</v>
      </c>
      <c r="AB59" s="5" t="s">
        <v>72</v>
      </c>
      <c r="AC59" s="3"/>
      <c r="AE59" s="127"/>
      <c r="AF59" s="127"/>
      <c r="AG59" s="64" t="s">
        <v>8</v>
      </c>
      <c r="AH59" s="68" t="s">
        <v>265</v>
      </c>
      <c r="AI59" s="66">
        <v>4.6026684403089581E-2</v>
      </c>
      <c r="AJ59" s="66">
        <v>-19.297964529366865</v>
      </c>
      <c r="AK59" s="67">
        <v>-0.1073418206332093</v>
      </c>
      <c r="AL59" s="60"/>
    </row>
    <row r="60" spans="20:38" ht="14.1" customHeight="1" x14ac:dyDescent="0.15">
      <c r="T60" s="3"/>
      <c r="U60" s="3"/>
      <c r="V60" s="3" t="s">
        <v>43</v>
      </c>
      <c r="W60" s="4">
        <v>4467</v>
      </c>
      <c r="X60" s="3"/>
      <c r="Y60" s="5" t="s">
        <v>73</v>
      </c>
      <c r="Z60" s="4">
        <v>9060</v>
      </c>
      <c r="AA60" s="4">
        <v>1968</v>
      </c>
      <c r="AB60" s="5" t="s">
        <v>67</v>
      </c>
      <c r="AC60" s="3"/>
      <c r="AE60" s="127"/>
      <c r="AF60" s="126"/>
      <c r="AG60" s="71" t="s">
        <v>227</v>
      </c>
      <c r="AH60" s="72" t="s">
        <v>237</v>
      </c>
      <c r="AI60" s="73"/>
      <c r="AJ60" s="73"/>
      <c r="AK60" s="74"/>
      <c r="AL60" s="60"/>
    </row>
    <row r="61" spans="20:38" ht="14.1" customHeight="1" x14ac:dyDescent="0.15">
      <c r="T61" s="3"/>
      <c r="U61" s="3"/>
      <c r="V61" s="3" t="s">
        <v>44</v>
      </c>
      <c r="W61" s="4">
        <v>4622</v>
      </c>
      <c r="X61" s="3"/>
      <c r="Y61" s="5" t="s">
        <v>74</v>
      </c>
      <c r="Z61" s="4">
        <v>9215</v>
      </c>
      <c r="AA61" s="4">
        <v>2036</v>
      </c>
      <c r="AB61" s="5" t="s">
        <v>75</v>
      </c>
      <c r="AC61" s="3" t="s">
        <v>76</v>
      </c>
      <c r="AE61" s="127"/>
      <c r="AF61" s="126" t="s">
        <v>8</v>
      </c>
      <c r="AG61" s="64" t="s">
        <v>5</v>
      </c>
      <c r="AH61" s="65">
        <v>-6.7867197621428268</v>
      </c>
      <c r="AI61" s="66">
        <v>0.50163072928985131</v>
      </c>
      <c r="AJ61" s="66">
        <v>-17.297856712287146</v>
      </c>
      <c r="AK61" s="67">
        <v>3.7244171880014925</v>
      </c>
      <c r="AL61" s="60"/>
    </row>
    <row r="62" spans="20:38" ht="14.1" customHeight="1" x14ac:dyDescent="0.15">
      <c r="T62" s="3"/>
      <c r="U62" s="3"/>
      <c r="V62" s="3" t="s">
        <v>45</v>
      </c>
      <c r="W62" s="4">
        <v>1306</v>
      </c>
      <c r="X62" s="3"/>
      <c r="Y62" s="4">
        <v>-3216</v>
      </c>
      <c r="Z62" s="4">
        <v>5827</v>
      </c>
      <c r="AA62" s="5" t="s">
        <v>77</v>
      </c>
      <c r="AB62" s="4">
        <v>1000</v>
      </c>
      <c r="AC62" s="3"/>
      <c r="AE62" s="127"/>
      <c r="AF62" s="127"/>
      <c r="AG62" s="64" t="s">
        <v>6</v>
      </c>
      <c r="AH62" s="65">
        <v>6.3521823384286069</v>
      </c>
      <c r="AI62" s="66">
        <v>0.45748323206046149</v>
      </c>
      <c r="AJ62" s="66">
        <v>-3.2431290159382282</v>
      </c>
      <c r="AK62" s="67">
        <v>15.947493692795442</v>
      </c>
      <c r="AL62" s="60"/>
    </row>
    <row r="63" spans="20:38" ht="14.1" customHeight="1" x14ac:dyDescent="0.15">
      <c r="T63" s="3"/>
      <c r="U63" s="3"/>
      <c r="V63" s="3" t="s">
        <v>48</v>
      </c>
      <c r="W63" s="4">
        <v>2267</v>
      </c>
      <c r="X63" s="3"/>
      <c r="Y63" s="4">
        <v>-2325</v>
      </c>
      <c r="Z63" s="4">
        <v>6860</v>
      </c>
      <c r="AA63" s="5" t="s">
        <v>78</v>
      </c>
      <c r="AB63" s="4">
        <v>1000</v>
      </c>
      <c r="AC63" s="3"/>
      <c r="AE63" s="127"/>
      <c r="AF63" s="127"/>
      <c r="AG63" s="64" t="s">
        <v>7</v>
      </c>
      <c r="AH63" s="68" t="s">
        <v>266</v>
      </c>
      <c r="AI63" s="66">
        <v>4.6026684403089581E-2</v>
      </c>
      <c r="AJ63" s="66">
        <v>0.1073418206332093</v>
      </c>
      <c r="AK63" s="67">
        <v>19.297964529366865</v>
      </c>
      <c r="AL63" s="60"/>
    </row>
    <row r="64" spans="20:38" ht="14.1" customHeight="1" x14ac:dyDescent="0.15">
      <c r="T64" s="3"/>
      <c r="U64" s="3"/>
      <c r="V64" s="3" t="s">
        <v>49</v>
      </c>
      <c r="W64" s="4">
        <v>1364</v>
      </c>
      <c r="X64" s="3"/>
      <c r="Y64" s="4">
        <v>-3228</v>
      </c>
      <c r="Z64" s="4">
        <v>5957</v>
      </c>
      <c r="AA64" s="5" t="s">
        <v>79</v>
      </c>
      <c r="AB64" s="4">
        <v>1000</v>
      </c>
      <c r="AC64" s="3"/>
      <c r="AE64" s="127"/>
      <c r="AF64" s="126"/>
      <c r="AG64" s="71" t="s">
        <v>227</v>
      </c>
      <c r="AH64" s="72" t="s">
        <v>237</v>
      </c>
      <c r="AI64" s="73"/>
      <c r="AJ64" s="73"/>
      <c r="AK64" s="74"/>
      <c r="AL64" s="60"/>
    </row>
    <row r="65" spans="20:38" ht="14.1" customHeight="1" x14ac:dyDescent="0.15">
      <c r="T65" s="3"/>
      <c r="U65" s="3"/>
      <c r="V65" s="3" t="s">
        <v>50</v>
      </c>
      <c r="W65" s="5" t="s">
        <v>80</v>
      </c>
      <c r="X65" s="3"/>
      <c r="Y65" s="4">
        <v>-4323</v>
      </c>
      <c r="Z65" s="4">
        <v>4720</v>
      </c>
      <c r="AA65" s="5" t="s">
        <v>81</v>
      </c>
      <c r="AB65" s="4">
        <v>1000</v>
      </c>
      <c r="AC65" s="3"/>
      <c r="AE65" s="127"/>
      <c r="AF65" s="126" t="s">
        <v>227</v>
      </c>
      <c r="AG65" s="64" t="s">
        <v>5</v>
      </c>
      <c r="AH65" s="68" t="s">
        <v>238</v>
      </c>
      <c r="AI65" s="69"/>
      <c r="AJ65" s="69"/>
      <c r="AK65" s="70"/>
      <c r="AL65" s="60"/>
    </row>
    <row r="66" spans="20:38" ht="14.1" customHeight="1" x14ac:dyDescent="0.15">
      <c r="T66" s="3"/>
      <c r="U66" s="3"/>
      <c r="V66" s="3" t="s">
        <v>53</v>
      </c>
      <c r="W66" s="4">
        <v>2021</v>
      </c>
      <c r="X66" s="3"/>
      <c r="Y66" s="4">
        <v>-2571</v>
      </c>
      <c r="Z66" s="4">
        <v>6614</v>
      </c>
      <c r="AA66" s="5" t="s">
        <v>82</v>
      </c>
      <c r="AB66" s="4">
        <v>1000</v>
      </c>
      <c r="AC66" s="3"/>
      <c r="AE66" s="127"/>
      <c r="AF66" s="127"/>
      <c r="AG66" s="64" t="s">
        <v>6</v>
      </c>
      <c r="AH66" s="68" t="s">
        <v>238</v>
      </c>
      <c r="AI66" s="69"/>
      <c r="AJ66" s="69"/>
      <c r="AK66" s="70"/>
      <c r="AL66" s="60"/>
    </row>
    <row r="67" spans="20:38" ht="14.1" customHeight="1" x14ac:dyDescent="0.15">
      <c r="T67" s="3"/>
      <c r="U67" s="3"/>
      <c r="V67" s="3" t="s">
        <v>54</v>
      </c>
      <c r="W67" s="4">
        <v>1883</v>
      </c>
      <c r="X67" s="3"/>
      <c r="Y67" s="4">
        <v>-2709</v>
      </c>
      <c r="Z67" s="4">
        <v>6476</v>
      </c>
      <c r="AA67" s="5" t="s">
        <v>83</v>
      </c>
      <c r="AB67" s="4">
        <v>1000</v>
      </c>
      <c r="AC67" s="3"/>
      <c r="AE67" s="127"/>
      <c r="AF67" s="127"/>
      <c r="AG67" s="64" t="s">
        <v>7</v>
      </c>
      <c r="AH67" s="68" t="s">
        <v>238</v>
      </c>
      <c r="AI67" s="69"/>
      <c r="AJ67" s="69"/>
      <c r="AK67" s="70"/>
      <c r="AL67" s="60"/>
    </row>
    <row r="68" spans="20:38" ht="14.1" customHeight="1" x14ac:dyDescent="0.15">
      <c r="T68" s="3"/>
      <c r="U68" s="3"/>
      <c r="V68" s="3" t="s">
        <v>55</v>
      </c>
      <c r="W68" s="5" t="s">
        <v>80</v>
      </c>
      <c r="X68" s="3"/>
      <c r="Y68" s="4">
        <v>-4323</v>
      </c>
      <c r="Z68" s="4">
        <v>4720</v>
      </c>
      <c r="AA68" s="5" t="s">
        <v>81</v>
      </c>
      <c r="AB68" s="4">
        <v>1000</v>
      </c>
      <c r="AC68" s="3"/>
      <c r="AE68" s="128"/>
      <c r="AF68" s="128"/>
      <c r="AG68" s="61" t="s">
        <v>8</v>
      </c>
      <c r="AH68" s="78" t="s">
        <v>238</v>
      </c>
      <c r="AI68" s="79"/>
      <c r="AJ68" s="79"/>
      <c r="AK68" s="80"/>
      <c r="AL68" s="60"/>
    </row>
    <row r="69" spans="20:38" ht="14.1" customHeight="1" x14ac:dyDescent="0.15">
      <c r="T69" s="3"/>
      <c r="U69" s="3"/>
      <c r="V69" s="3" t="s">
        <v>56</v>
      </c>
      <c r="W69" s="4">
        <v>3491</v>
      </c>
      <c r="X69" s="3"/>
      <c r="Y69" s="4">
        <v>-1101</v>
      </c>
      <c r="Z69" s="4">
        <v>8084</v>
      </c>
      <c r="AA69" s="4">
        <v>1538</v>
      </c>
      <c r="AB69" s="5" t="s">
        <v>84</v>
      </c>
      <c r="AC69" s="3"/>
      <c r="AE69" s="125" t="s">
        <v>230</v>
      </c>
      <c r="AF69" s="125"/>
      <c r="AG69" s="125"/>
      <c r="AH69" s="125"/>
      <c r="AI69" s="125"/>
      <c r="AJ69" s="125"/>
      <c r="AK69" s="125"/>
      <c r="AL69" s="60"/>
    </row>
    <row r="70" spans="20:38" ht="14.1" customHeight="1" x14ac:dyDescent="0.15">
      <c r="T70" s="3"/>
      <c r="U70" s="3"/>
      <c r="V70" s="3" t="s">
        <v>57</v>
      </c>
      <c r="W70" s="4">
        <v>2381</v>
      </c>
      <c r="X70" s="3"/>
      <c r="Y70" s="4">
        <v>-2211</v>
      </c>
      <c r="Z70" s="4">
        <v>6974</v>
      </c>
      <c r="AA70" s="4">
        <v>1049</v>
      </c>
      <c r="AB70" s="4">
        <v>1000</v>
      </c>
      <c r="AC70" s="3"/>
      <c r="AE70" s="125" t="s">
        <v>231</v>
      </c>
      <c r="AF70" s="125"/>
      <c r="AG70" s="125"/>
      <c r="AH70" s="125"/>
      <c r="AI70" s="125"/>
      <c r="AJ70" s="125"/>
      <c r="AK70" s="125"/>
      <c r="AL70" s="60"/>
    </row>
    <row r="71" spans="20:38" ht="14.1" customHeight="1" x14ac:dyDescent="0.15">
      <c r="T71" s="3"/>
      <c r="U71" s="3"/>
      <c r="V71" s="3" t="s">
        <v>58</v>
      </c>
      <c r="W71" s="4">
        <v>3062</v>
      </c>
      <c r="X71" s="3"/>
      <c r="Y71" s="4">
        <v>-1459</v>
      </c>
      <c r="Z71" s="4">
        <v>7583</v>
      </c>
      <c r="AA71" s="4">
        <v>1349</v>
      </c>
      <c r="AB71" s="4">
        <v>1000</v>
      </c>
      <c r="AC71" s="3"/>
      <c r="AE71" s="125" t="s">
        <v>232</v>
      </c>
      <c r="AF71" s="125"/>
      <c r="AG71" s="125"/>
      <c r="AH71" s="125"/>
      <c r="AI71" s="125"/>
      <c r="AJ71" s="125"/>
      <c r="AK71" s="125"/>
      <c r="AL71" s="60"/>
    </row>
    <row r="72" spans="20:38" ht="14.1" customHeight="1" x14ac:dyDescent="0.15">
      <c r="T72" s="3"/>
      <c r="U72" s="3"/>
      <c r="V72" s="3" t="s">
        <v>59</v>
      </c>
      <c r="W72" s="4">
        <v>3398</v>
      </c>
      <c r="X72" s="3"/>
      <c r="Y72" s="4">
        <v>-1195</v>
      </c>
      <c r="Z72" s="4">
        <v>7990</v>
      </c>
      <c r="AA72" s="4">
        <v>1497</v>
      </c>
      <c r="AB72" s="4">
        <v>1000</v>
      </c>
      <c r="AC72" s="3"/>
      <c r="AE72" s="125" t="s">
        <v>233</v>
      </c>
      <c r="AF72" s="125"/>
      <c r="AG72" s="125"/>
      <c r="AH72" s="125"/>
      <c r="AI72" s="125"/>
      <c r="AJ72" s="125"/>
      <c r="AK72" s="125"/>
      <c r="AL72" s="60"/>
    </row>
    <row r="73" spans="20:38" ht="14.1" customHeight="1" x14ac:dyDescent="0.15">
      <c r="T73" s="3"/>
      <c r="U73" s="3"/>
      <c r="V73" s="3" t="s">
        <v>60</v>
      </c>
      <c r="W73" s="4">
        <v>5585</v>
      </c>
      <c r="X73" s="3"/>
      <c r="Y73" s="5" t="s">
        <v>84</v>
      </c>
      <c r="Z73" s="4">
        <v>10177</v>
      </c>
      <c r="AA73" s="4">
        <v>2460</v>
      </c>
      <c r="AB73" s="5" t="s">
        <v>46</v>
      </c>
      <c r="AC73" s="3" t="s">
        <v>47</v>
      </c>
      <c r="AE73" s="125" t="s">
        <v>234</v>
      </c>
      <c r="AF73" s="125"/>
      <c r="AG73" s="125"/>
      <c r="AH73" s="125"/>
      <c r="AI73" s="125"/>
      <c r="AJ73" s="125"/>
      <c r="AK73" s="125"/>
      <c r="AL73" s="60"/>
    </row>
    <row r="74" spans="20:38" ht="14.1" customHeight="1" x14ac:dyDescent="0.15">
      <c r="T74" s="3" t="s">
        <v>37</v>
      </c>
      <c r="U74" s="3"/>
      <c r="V74" s="3" t="s">
        <v>39</v>
      </c>
      <c r="W74" s="4">
        <v>-1194</v>
      </c>
      <c r="X74" s="3"/>
      <c r="Y74" s="4">
        <v>-5787</v>
      </c>
      <c r="Z74" s="4">
        <v>3398</v>
      </c>
      <c r="AA74" s="5" t="s">
        <v>85</v>
      </c>
      <c r="AB74" s="4">
        <v>1000</v>
      </c>
      <c r="AC74" s="3"/>
    </row>
    <row r="75" spans="20:38" ht="14.1" customHeight="1" x14ac:dyDescent="0.15">
      <c r="T75" s="3"/>
      <c r="U75" s="3"/>
      <c r="V75" s="3" t="s">
        <v>40</v>
      </c>
      <c r="W75" s="4">
        <v>4264</v>
      </c>
      <c r="X75" s="3"/>
      <c r="Y75" s="5" t="s">
        <v>86</v>
      </c>
      <c r="Z75" s="4">
        <v>8856</v>
      </c>
      <c r="AA75" s="4">
        <v>1878</v>
      </c>
      <c r="AB75" s="5" t="s">
        <v>87</v>
      </c>
      <c r="AC75" s="3"/>
    </row>
    <row r="76" spans="20:38" ht="14.1" customHeight="1" x14ac:dyDescent="0.15">
      <c r="T76" s="3"/>
      <c r="U76" s="3"/>
      <c r="V76" s="3" t="s">
        <v>43</v>
      </c>
      <c r="W76" s="4">
        <v>5249</v>
      </c>
      <c r="X76" s="3"/>
      <c r="Y76" s="5" t="s">
        <v>88</v>
      </c>
      <c r="Z76" s="4">
        <v>9770</v>
      </c>
      <c r="AA76" s="4">
        <v>2312</v>
      </c>
      <c r="AB76" s="5" t="s">
        <v>89</v>
      </c>
      <c r="AC76" s="3" t="s">
        <v>47</v>
      </c>
    </row>
    <row r="77" spans="20:38" ht="14.1" customHeight="1" x14ac:dyDescent="0.15">
      <c r="T77" s="3"/>
      <c r="U77" s="3"/>
      <c r="V77" s="3" t="s">
        <v>44</v>
      </c>
      <c r="W77" s="4">
        <v>5404</v>
      </c>
      <c r="X77" s="3"/>
      <c r="Y77" s="5" t="s">
        <v>90</v>
      </c>
      <c r="Z77" s="4">
        <v>9996</v>
      </c>
      <c r="AA77" s="4">
        <v>2380</v>
      </c>
      <c r="AB77" s="5" t="s">
        <v>91</v>
      </c>
      <c r="AC77" s="3" t="s">
        <v>47</v>
      </c>
    </row>
    <row r="78" spans="20:38" ht="14.1" customHeight="1" x14ac:dyDescent="0.15">
      <c r="T78" s="3"/>
      <c r="U78" s="3"/>
      <c r="V78" s="3" t="s">
        <v>45</v>
      </c>
      <c r="W78" s="4">
        <v>2087</v>
      </c>
      <c r="X78" s="3"/>
      <c r="Y78" s="4">
        <v>-2505</v>
      </c>
      <c r="Z78" s="4">
        <v>6680</v>
      </c>
      <c r="AA78" s="5" t="s">
        <v>92</v>
      </c>
      <c r="AB78" s="4">
        <v>1000</v>
      </c>
      <c r="AC78" s="3"/>
    </row>
    <row r="79" spans="20:38" ht="14.1" customHeight="1" x14ac:dyDescent="0.15">
      <c r="T79" s="3"/>
      <c r="U79" s="3"/>
      <c r="V79" s="3" t="s">
        <v>48</v>
      </c>
      <c r="W79" s="4">
        <v>3049</v>
      </c>
      <c r="X79" s="3"/>
      <c r="Y79" s="4">
        <v>-1472</v>
      </c>
      <c r="Z79" s="4">
        <v>7570</v>
      </c>
      <c r="AA79" s="4">
        <v>1343</v>
      </c>
      <c r="AB79" s="4">
        <v>1000</v>
      </c>
      <c r="AC79" s="3"/>
    </row>
    <row r="80" spans="20:38" ht="14.1" customHeight="1" x14ac:dyDescent="0.15">
      <c r="T80" s="3"/>
      <c r="U80" s="3"/>
      <c r="V80" s="3" t="s">
        <v>49</v>
      </c>
      <c r="W80" s="4">
        <v>2146</v>
      </c>
      <c r="X80" s="3"/>
      <c r="Y80" s="4">
        <v>-2447</v>
      </c>
      <c r="Z80" s="4">
        <v>6738</v>
      </c>
      <c r="AA80" s="5" t="s">
        <v>93</v>
      </c>
      <c r="AB80" s="4">
        <v>1000</v>
      </c>
      <c r="AC80" s="3"/>
    </row>
    <row r="81" spans="20:29" ht="14.1" customHeight="1" x14ac:dyDescent="0.15">
      <c r="T81" s="3"/>
      <c r="U81" s="3"/>
      <c r="V81" s="3" t="s">
        <v>50</v>
      </c>
      <c r="W81" s="5" t="s">
        <v>94</v>
      </c>
      <c r="X81" s="3"/>
      <c r="Y81" s="4">
        <v>-3613</v>
      </c>
      <c r="Z81" s="4">
        <v>5572</v>
      </c>
      <c r="AA81" s="5" t="s">
        <v>95</v>
      </c>
      <c r="AB81" s="4">
        <v>1000</v>
      </c>
      <c r="AC81" s="3"/>
    </row>
    <row r="82" spans="20:29" ht="14.1" customHeight="1" x14ac:dyDescent="0.15">
      <c r="T82" s="3"/>
      <c r="U82" s="3"/>
      <c r="V82" s="3" t="s">
        <v>53</v>
      </c>
      <c r="W82" s="4">
        <v>2803</v>
      </c>
      <c r="X82" s="3"/>
      <c r="Y82" s="4">
        <v>-1719</v>
      </c>
      <c r="Z82" s="4">
        <v>7324</v>
      </c>
      <c r="AA82" s="4">
        <v>1234</v>
      </c>
      <c r="AB82" s="4">
        <v>1000</v>
      </c>
      <c r="AC82" s="3"/>
    </row>
    <row r="83" spans="20:29" ht="14.1" customHeight="1" x14ac:dyDescent="0.15">
      <c r="T83" s="3"/>
      <c r="U83" s="3"/>
      <c r="V83" s="3" t="s">
        <v>54</v>
      </c>
      <c r="W83" s="4">
        <v>2665</v>
      </c>
      <c r="X83" s="3"/>
      <c r="Y83" s="4">
        <v>-1928</v>
      </c>
      <c r="Z83" s="4">
        <v>7257</v>
      </c>
      <c r="AA83" s="4">
        <v>1174</v>
      </c>
      <c r="AB83" s="4">
        <v>1000</v>
      </c>
      <c r="AC83" s="3"/>
    </row>
    <row r="84" spans="20:29" ht="14.1" customHeight="1" x14ac:dyDescent="0.15">
      <c r="T84" s="3"/>
      <c r="U84" s="3"/>
      <c r="V84" s="3" t="s">
        <v>55</v>
      </c>
      <c r="W84" s="5" t="s">
        <v>94</v>
      </c>
      <c r="X84" s="3"/>
      <c r="Y84" s="4">
        <v>-3613</v>
      </c>
      <c r="Z84" s="4">
        <v>5572</v>
      </c>
      <c r="AA84" s="5" t="s">
        <v>95</v>
      </c>
      <c r="AB84" s="4">
        <v>1000</v>
      </c>
      <c r="AC84" s="3"/>
    </row>
    <row r="85" spans="20:29" ht="14.1" customHeight="1" x14ac:dyDescent="0.15">
      <c r="T85" s="3"/>
      <c r="U85" s="3"/>
      <c r="V85" s="3" t="s">
        <v>56</v>
      </c>
      <c r="W85" s="4">
        <v>4273</v>
      </c>
      <c r="X85" s="3"/>
      <c r="Y85" s="5" t="s">
        <v>96</v>
      </c>
      <c r="Z85" s="4">
        <v>8794</v>
      </c>
      <c r="AA85" s="4">
        <v>1882</v>
      </c>
      <c r="AB85" s="5" t="s">
        <v>36</v>
      </c>
      <c r="AC85" s="3"/>
    </row>
    <row r="86" spans="20:29" ht="14.1" customHeight="1" x14ac:dyDescent="0.15">
      <c r="T86" s="3"/>
      <c r="U86" s="3"/>
      <c r="V86" s="3" t="s">
        <v>57</v>
      </c>
      <c r="W86" s="4">
        <v>3163</v>
      </c>
      <c r="X86" s="3"/>
      <c r="Y86" s="4">
        <v>-1430</v>
      </c>
      <c r="Z86" s="4">
        <v>7755</v>
      </c>
      <c r="AA86" s="4">
        <v>1393</v>
      </c>
      <c r="AB86" s="4">
        <v>1000</v>
      </c>
      <c r="AC86" s="3"/>
    </row>
    <row r="87" spans="20:29" ht="14.1" customHeight="1" x14ac:dyDescent="0.15">
      <c r="T87" s="3"/>
      <c r="U87" s="3"/>
      <c r="V87" s="3" t="s">
        <v>58</v>
      </c>
      <c r="W87" s="4">
        <v>3843</v>
      </c>
      <c r="X87" s="3"/>
      <c r="Y87" s="5" t="s">
        <v>97</v>
      </c>
      <c r="Z87" s="4">
        <v>8436</v>
      </c>
      <c r="AA87" s="4">
        <v>1693</v>
      </c>
      <c r="AB87" s="5" t="s">
        <v>98</v>
      </c>
      <c r="AC87" s="3"/>
    </row>
    <row r="88" spans="20:29" ht="14.1" customHeight="1" x14ac:dyDescent="0.15">
      <c r="T88" s="3"/>
      <c r="U88" s="3"/>
      <c r="V88" s="3" t="s">
        <v>59</v>
      </c>
      <c r="W88" s="4">
        <v>4179</v>
      </c>
      <c r="X88" s="3"/>
      <c r="Y88" s="5" t="s">
        <v>99</v>
      </c>
      <c r="Z88" s="4">
        <v>8700</v>
      </c>
      <c r="AA88" s="4">
        <v>1841</v>
      </c>
      <c r="AB88" s="5" t="s">
        <v>100</v>
      </c>
      <c r="AC88" s="3"/>
    </row>
    <row r="89" spans="20:29" ht="14.1" customHeight="1" x14ac:dyDescent="0.15">
      <c r="T89" s="3"/>
      <c r="U89" s="3"/>
      <c r="V89" s="3" t="s">
        <v>60</v>
      </c>
      <c r="W89" s="4">
        <v>6366</v>
      </c>
      <c r="X89" s="3"/>
      <c r="Y89" s="4">
        <v>1774</v>
      </c>
      <c r="Z89" s="4">
        <v>10959</v>
      </c>
      <c r="AA89" s="4">
        <v>2804</v>
      </c>
      <c r="AB89" s="5" t="s">
        <v>41</v>
      </c>
      <c r="AC89" s="3" t="s">
        <v>42</v>
      </c>
    </row>
    <row r="90" spans="20:29" ht="14.1" customHeight="1" x14ac:dyDescent="0.15">
      <c r="T90" s="3" t="s">
        <v>39</v>
      </c>
      <c r="U90" s="3"/>
      <c r="V90" s="3" t="s">
        <v>40</v>
      </c>
      <c r="W90" s="4">
        <v>5458</v>
      </c>
      <c r="X90" s="3"/>
      <c r="Y90" s="5" t="s">
        <v>101</v>
      </c>
      <c r="Z90" s="4">
        <v>10050</v>
      </c>
      <c r="AA90" s="4">
        <v>2404</v>
      </c>
      <c r="AB90" s="5" t="s">
        <v>102</v>
      </c>
      <c r="AC90" s="3" t="s">
        <v>47</v>
      </c>
    </row>
    <row r="91" spans="20:29" ht="14.1" customHeight="1" x14ac:dyDescent="0.15">
      <c r="T91" s="3"/>
      <c r="U91" s="3"/>
      <c r="V91" s="3" t="s">
        <v>43</v>
      </c>
      <c r="W91" s="4">
        <v>6443</v>
      </c>
      <c r="X91" s="3"/>
      <c r="Y91" s="4">
        <v>1850</v>
      </c>
      <c r="Z91" s="4">
        <v>11035</v>
      </c>
      <c r="AA91" s="4">
        <v>2838</v>
      </c>
      <c r="AB91" s="5" t="s">
        <v>41</v>
      </c>
      <c r="AC91" s="3" t="s">
        <v>42</v>
      </c>
    </row>
    <row r="92" spans="20:29" ht="14.1" customHeight="1" x14ac:dyDescent="0.15">
      <c r="T92" s="3"/>
      <c r="U92" s="3"/>
      <c r="V92" s="3" t="s">
        <v>44</v>
      </c>
      <c r="W92" s="4">
        <v>6598</v>
      </c>
      <c r="X92" s="3"/>
      <c r="Y92" s="4">
        <v>2077</v>
      </c>
      <c r="Z92" s="4">
        <v>11119</v>
      </c>
      <c r="AA92" s="4">
        <v>2906</v>
      </c>
      <c r="AB92" s="5" t="s">
        <v>41</v>
      </c>
      <c r="AC92" s="3" t="s">
        <v>42</v>
      </c>
    </row>
    <row r="93" spans="20:29" ht="14.1" customHeight="1" x14ac:dyDescent="0.15">
      <c r="T93" s="3"/>
      <c r="U93" s="3"/>
      <c r="V93" s="3" t="s">
        <v>45</v>
      </c>
      <c r="W93" s="4">
        <v>3281</v>
      </c>
      <c r="X93" s="3"/>
      <c r="Y93" s="4">
        <v>-1311</v>
      </c>
      <c r="Z93" s="4">
        <v>7874</v>
      </c>
      <c r="AA93" s="4">
        <v>1445</v>
      </c>
      <c r="AB93" s="4">
        <v>1000</v>
      </c>
      <c r="AC93" s="3"/>
    </row>
    <row r="94" spans="20:29" ht="14.1" customHeight="1" x14ac:dyDescent="0.15">
      <c r="T94" s="3"/>
      <c r="U94" s="3"/>
      <c r="V94" s="3" t="s">
        <v>48</v>
      </c>
      <c r="W94" s="4">
        <v>4243</v>
      </c>
      <c r="X94" s="3"/>
      <c r="Y94" s="5" t="s">
        <v>104</v>
      </c>
      <c r="Z94" s="4">
        <v>8835</v>
      </c>
      <c r="AA94" s="4">
        <v>1869</v>
      </c>
      <c r="AB94" s="5" t="s">
        <v>103</v>
      </c>
      <c r="AC94" s="3"/>
    </row>
    <row r="95" spans="20:29" ht="14.1" customHeight="1" x14ac:dyDescent="0.15">
      <c r="T95" s="3"/>
      <c r="U95" s="3"/>
      <c r="V95" s="3" t="s">
        <v>49</v>
      </c>
      <c r="W95" s="4">
        <v>3340</v>
      </c>
      <c r="X95" s="3"/>
      <c r="Y95" s="4">
        <v>-1182</v>
      </c>
      <c r="Z95" s="4">
        <v>7861</v>
      </c>
      <c r="AA95" s="4">
        <v>1471</v>
      </c>
      <c r="AB95" s="4">
        <v>1000</v>
      </c>
      <c r="AC95" s="3"/>
    </row>
    <row r="96" spans="20:29" ht="14.1" customHeight="1" x14ac:dyDescent="0.15">
      <c r="T96" s="3"/>
      <c r="U96" s="3"/>
      <c r="V96" s="3" t="s">
        <v>50</v>
      </c>
      <c r="W96" s="4">
        <v>2174</v>
      </c>
      <c r="X96" s="3"/>
      <c r="Y96" s="4">
        <v>-2418</v>
      </c>
      <c r="Z96" s="4">
        <v>6766</v>
      </c>
      <c r="AA96" s="5" t="s">
        <v>105</v>
      </c>
      <c r="AB96" s="4">
        <v>1000</v>
      </c>
      <c r="AC96" s="3"/>
    </row>
    <row r="97" spans="20:29" ht="14.1" customHeight="1" x14ac:dyDescent="0.15">
      <c r="T97" s="3"/>
      <c r="U97" s="3"/>
      <c r="V97" s="3" t="s">
        <v>53</v>
      </c>
      <c r="W97" s="4">
        <v>3997</v>
      </c>
      <c r="X97" s="3"/>
      <c r="Y97" s="5" t="s">
        <v>106</v>
      </c>
      <c r="Z97" s="4">
        <v>8589</v>
      </c>
      <c r="AA97" s="4">
        <v>1760</v>
      </c>
      <c r="AB97" s="5" t="s">
        <v>107</v>
      </c>
      <c r="AC97" s="3"/>
    </row>
    <row r="98" spans="20:29" ht="14.1" customHeight="1" x14ac:dyDescent="0.15">
      <c r="T98" s="3"/>
      <c r="U98" s="3"/>
      <c r="V98" s="3" t="s">
        <v>54</v>
      </c>
      <c r="W98" s="4">
        <v>3859</v>
      </c>
      <c r="X98" s="3"/>
      <c r="Y98" s="5" t="s">
        <v>108</v>
      </c>
      <c r="Z98" s="4">
        <v>8380</v>
      </c>
      <c r="AA98" s="4">
        <v>1700</v>
      </c>
      <c r="AB98" s="5" t="s">
        <v>109</v>
      </c>
      <c r="AC98" s="3"/>
    </row>
    <row r="99" spans="20:29" ht="14.1" customHeight="1" x14ac:dyDescent="0.15">
      <c r="T99" s="3"/>
      <c r="U99" s="3"/>
      <c r="V99" s="3" t="s">
        <v>55</v>
      </c>
      <c r="W99" s="4">
        <v>2174</v>
      </c>
      <c r="X99" s="3"/>
      <c r="Y99" s="4">
        <v>-2418</v>
      </c>
      <c r="Z99" s="4">
        <v>6766</v>
      </c>
      <c r="AA99" s="5" t="s">
        <v>105</v>
      </c>
      <c r="AB99" s="4">
        <v>1000</v>
      </c>
      <c r="AC99" s="3"/>
    </row>
    <row r="100" spans="20:29" ht="14.1" customHeight="1" x14ac:dyDescent="0.15">
      <c r="T100" s="3"/>
      <c r="U100" s="3"/>
      <c r="V100" s="3" t="s">
        <v>56</v>
      </c>
      <c r="W100" s="4">
        <v>5467</v>
      </c>
      <c r="X100" s="3"/>
      <c r="Y100" s="5" t="s">
        <v>72</v>
      </c>
      <c r="Z100" s="4">
        <v>10059</v>
      </c>
      <c r="AA100" s="4">
        <v>2408</v>
      </c>
      <c r="AB100" s="5" t="s">
        <v>102</v>
      </c>
      <c r="AC100" s="3" t="s">
        <v>47</v>
      </c>
    </row>
    <row r="101" spans="20:29" ht="14.1" customHeight="1" x14ac:dyDescent="0.15">
      <c r="T101" s="3"/>
      <c r="U101" s="3"/>
      <c r="V101" s="3" t="s">
        <v>57</v>
      </c>
      <c r="W101" s="4">
        <v>4357</v>
      </c>
      <c r="X101" s="3"/>
      <c r="Y101" s="5" t="s">
        <v>110</v>
      </c>
      <c r="Z101" s="4">
        <v>8878</v>
      </c>
      <c r="AA101" s="4">
        <v>1919</v>
      </c>
      <c r="AB101" s="5" t="s">
        <v>111</v>
      </c>
      <c r="AC101" s="3"/>
    </row>
    <row r="102" spans="20:29" ht="14.1" customHeight="1" x14ac:dyDescent="0.15">
      <c r="T102" s="3"/>
      <c r="U102" s="3"/>
      <c r="V102" s="3" t="s">
        <v>58</v>
      </c>
      <c r="W102" s="4">
        <v>5038</v>
      </c>
      <c r="X102" s="3"/>
      <c r="Y102" s="5" t="s">
        <v>112</v>
      </c>
      <c r="Z102" s="4">
        <v>9630</v>
      </c>
      <c r="AA102" s="4">
        <v>2219</v>
      </c>
      <c r="AB102" s="5" t="s">
        <v>113</v>
      </c>
      <c r="AC102" s="3" t="s">
        <v>76</v>
      </c>
    </row>
    <row r="103" spans="20:29" ht="14.1" customHeight="1" x14ac:dyDescent="0.15">
      <c r="T103" s="3"/>
      <c r="U103" s="3"/>
      <c r="V103" s="3" t="s">
        <v>59</v>
      </c>
      <c r="W103" s="4">
        <v>5373</v>
      </c>
      <c r="X103" s="3"/>
      <c r="Y103" s="5" t="s">
        <v>114</v>
      </c>
      <c r="Z103" s="4">
        <v>9966</v>
      </c>
      <c r="AA103" s="4">
        <v>2367</v>
      </c>
      <c r="AB103" s="5" t="s">
        <v>91</v>
      </c>
      <c r="AC103" s="3" t="s">
        <v>47</v>
      </c>
    </row>
    <row r="104" spans="20:29" ht="14.1" customHeight="1" x14ac:dyDescent="0.15">
      <c r="T104" s="3"/>
      <c r="U104" s="3"/>
      <c r="V104" s="3" t="s">
        <v>60</v>
      </c>
      <c r="W104" s="4">
        <v>7560</v>
      </c>
      <c r="X104" s="3"/>
      <c r="Y104" s="4">
        <v>3039</v>
      </c>
      <c r="Z104" s="4">
        <v>12082</v>
      </c>
      <c r="AA104" s="4">
        <v>3330</v>
      </c>
      <c r="AB104" s="5" t="s">
        <v>41</v>
      </c>
      <c r="AC104" s="3" t="s">
        <v>42</v>
      </c>
    </row>
    <row r="105" spans="20:29" ht="14.1" customHeight="1" x14ac:dyDescent="0.15">
      <c r="T105" s="3" t="s">
        <v>40</v>
      </c>
      <c r="U105" s="3"/>
      <c r="V105" s="3" t="s">
        <v>43</v>
      </c>
      <c r="W105" s="5" t="s">
        <v>115</v>
      </c>
      <c r="X105" s="3"/>
      <c r="Y105" s="4">
        <v>-3608</v>
      </c>
      <c r="Z105" s="4">
        <v>5577</v>
      </c>
      <c r="AA105" s="5" t="s">
        <v>116</v>
      </c>
      <c r="AB105" s="4">
        <v>1000</v>
      </c>
      <c r="AC105" s="3"/>
    </row>
    <row r="106" spans="20:29" ht="14.1" customHeight="1" x14ac:dyDescent="0.15">
      <c r="T106" s="3"/>
      <c r="U106" s="3"/>
      <c r="V106" s="3" t="s">
        <v>44</v>
      </c>
      <c r="W106" s="4">
        <v>1140</v>
      </c>
      <c r="X106" s="3"/>
      <c r="Y106" s="4">
        <v>-3452</v>
      </c>
      <c r="Z106" s="4">
        <v>5733</v>
      </c>
      <c r="AA106" s="5" t="s">
        <v>117</v>
      </c>
      <c r="AB106" s="4">
        <v>1000</v>
      </c>
      <c r="AC106" s="3"/>
    </row>
    <row r="107" spans="20:29" ht="14.1" customHeight="1" x14ac:dyDescent="0.15">
      <c r="T107" s="3"/>
      <c r="U107" s="3"/>
      <c r="V107" s="3" t="s">
        <v>45</v>
      </c>
      <c r="W107" s="4">
        <v>-2176</v>
      </c>
      <c r="X107" s="3"/>
      <c r="Y107" s="4">
        <v>-6698</v>
      </c>
      <c r="Z107" s="4">
        <v>2345</v>
      </c>
      <c r="AA107" s="5" t="s">
        <v>118</v>
      </c>
      <c r="AB107" s="4">
        <v>1000</v>
      </c>
      <c r="AC107" s="3"/>
    </row>
    <row r="108" spans="20:29" ht="14.1" customHeight="1" x14ac:dyDescent="0.15">
      <c r="T108" s="3"/>
      <c r="U108" s="3"/>
      <c r="V108" s="3" t="s">
        <v>48</v>
      </c>
      <c r="W108" s="4">
        <v>-1215</v>
      </c>
      <c r="X108" s="3"/>
      <c r="Y108" s="4">
        <v>-5807</v>
      </c>
      <c r="Z108" s="4">
        <v>3378</v>
      </c>
      <c r="AA108" s="5" t="s">
        <v>119</v>
      </c>
      <c r="AB108" s="4">
        <v>1000</v>
      </c>
      <c r="AC108" s="3"/>
    </row>
    <row r="109" spans="20:29" ht="14.1" customHeight="1" x14ac:dyDescent="0.15">
      <c r="T109" s="3"/>
      <c r="U109" s="3"/>
      <c r="V109" s="3" t="s">
        <v>49</v>
      </c>
      <c r="W109" s="4">
        <v>-2118</v>
      </c>
      <c r="X109" s="3"/>
      <c r="Y109" s="4">
        <v>-6711</v>
      </c>
      <c r="Z109" s="4">
        <v>2474</v>
      </c>
      <c r="AA109" s="5" t="s">
        <v>120</v>
      </c>
      <c r="AB109" s="4">
        <v>1000</v>
      </c>
      <c r="AC109" s="3"/>
    </row>
    <row r="110" spans="20:29" ht="14.1" customHeight="1" x14ac:dyDescent="0.15">
      <c r="T110" s="3"/>
      <c r="U110" s="3"/>
      <c r="V110" s="3" t="s">
        <v>50</v>
      </c>
      <c r="W110" s="4">
        <v>-3284</v>
      </c>
      <c r="X110" s="3"/>
      <c r="Y110" s="4">
        <v>-7805</v>
      </c>
      <c r="Z110" s="4">
        <v>1238</v>
      </c>
      <c r="AA110" s="4">
        <v>-1446</v>
      </c>
      <c r="AB110" s="4">
        <v>1000</v>
      </c>
      <c r="AC110" s="3"/>
    </row>
    <row r="111" spans="20:29" ht="14.1" customHeight="1" x14ac:dyDescent="0.15">
      <c r="T111" s="3"/>
      <c r="U111" s="3"/>
      <c r="V111" s="3" t="s">
        <v>53</v>
      </c>
      <c r="W111" s="4">
        <v>-1461</v>
      </c>
      <c r="X111" s="3"/>
      <c r="Y111" s="4">
        <v>-6053</v>
      </c>
      <c r="Z111" s="4">
        <v>3132</v>
      </c>
      <c r="AA111" s="5" t="s">
        <v>121</v>
      </c>
      <c r="AB111" s="4">
        <v>1000</v>
      </c>
      <c r="AC111" s="3"/>
    </row>
    <row r="112" spans="20:29" ht="14.1" customHeight="1" x14ac:dyDescent="0.15">
      <c r="T112" s="3"/>
      <c r="U112" s="3"/>
      <c r="V112" s="3" t="s">
        <v>54</v>
      </c>
      <c r="W112" s="4">
        <v>-1599</v>
      </c>
      <c r="X112" s="3"/>
      <c r="Y112" s="4">
        <v>-6191</v>
      </c>
      <c r="Z112" s="4">
        <v>2994</v>
      </c>
      <c r="AA112" s="5" t="s">
        <v>122</v>
      </c>
      <c r="AB112" s="4">
        <v>1000</v>
      </c>
      <c r="AC112" s="3"/>
    </row>
    <row r="113" spans="20:29" ht="14.1" customHeight="1" x14ac:dyDescent="0.15">
      <c r="T113" s="3"/>
      <c r="U113" s="3"/>
      <c r="V113" s="3" t="s">
        <v>55</v>
      </c>
      <c r="W113" s="4">
        <v>-3284</v>
      </c>
      <c r="X113" s="3"/>
      <c r="Y113" s="4">
        <v>-7805</v>
      </c>
      <c r="Z113" s="4">
        <v>1238</v>
      </c>
      <c r="AA113" s="4">
        <v>-1446</v>
      </c>
      <c r="AB113" s="4">
        <v>1000</v>
      </c>
      <c r="AC113" s="3"/>
    </row>
    <row r="114" spans="20:29" ht="14.1" customHeight="1" x14ac:dyDescent="0.15">
      <c r="T114" s="3"/>
      <c r="U114" s="3"/>
      <c r="V114" s="3" t="s">
        <v>56</v>
      </c>
      <c r="W114" s="5" t="s">
        <v>123</v>
      </c>
      <c r="X114" s="3"/>
      <c r="Y114" s="4">
        <v>-4583</v>
      </c>
      <c r="Z114" s="4">
        <v>4602</v>
      </c>
      <c r="AA114" s="5" t="s">
        <v>91</v>
      </c>
      <c r="AB114" s="4">
        <v>1000</v>
      </c>
      <c r="AC114" s="3"/>
    </row>
    <row r="115" spans="20:29" ht="14.1" customHeight="1" x14ac:dyDescent="0.15">
      <c r="T115" s="3"/>
      <c r="U115" s="3"/>
      <c r="V115" s="3" t="s">
        <v>57</v>
      </c>
      <c r="W115" s="4">
        <v>-1101</v>
      </c>
      <c r="X115" s="3"/>
      <c r="Y115" s="4">
        <v>-5693</v>
      </c>
      <c r="Z115" s="4">
        <v>3492</v>
      </c>
      <c r="AA115" s="5" t="s">
        <v>124</v>
      </c>
      <c r="AB115" s="4">
        <v>1000</v>
      </c>
      <c r="AC115" s="3"/>
    </row>
    <row r="116" spans="20:29" ht="14.1" customHeight="1" x14ac:dyDescent="0.15">
      <c r="T116" s="3"/>
      <c r="U116" s="3"/>
      <c r="V116" s="3" t="s">
        <v>58</v>
      </c>
      <c r="W116" s="5" t="s">
        <v>125</v>
      </c>
      <c r="X116" s="3"/>
      <c r="Y116" s="4">
        <v>-4941</v>
      </c>
      <c r="Z116" s="4">
        <v>4101</v>
      </c>
      <c r="AA116" s="5" t="s">
        <v>126</v>
      </c>
      <c r="AB116" s="4">
        <v>1000</v>
      </c>
      <c r="AC116" s="3"/>
    </row>
    <row r="117" spans="20:29" ht="14.1" customHeight="1" x14ac:dyDescent="0.15">
      <c r="T117" s="3"/>
      <c r="U117" s="3"/>
      <c r="V117" s="3" t="s">
        <v>59</v>
      </c>
      <c r="W117" s="5" t="s">
        <v>127</v>
      </c>
      <c r="X117" s="3"/>
      <c r="Y117" s="4">
        <v>-4677</v>
      </c>
      <c r="Z117" s="4">
        <v>4508</v>
      </c>
      <c r="AA117" s="5" t="s">
        <v>128</v>
      </c>
      <c r="AB117" s="4">
        <v>1000</v>
      </c>
      <c r="AC117" s="3"/>
    </row>
    <row r="118" spans="20:29" ht="14.1" customHeight="1" x14ac:dyDescent="0.15">
      <c r="T118" s="3"/>
      <c r="U118" s="3"/>
      <c r="V118" s="3" t="s">
        <v>60</v>
      </c>
      <c r="W118" s="4">
        <v>2103</v>
      </c>
      <c r="X118" s="3"/>
      <c r="Y118" s="4">
        <v>-2490</v>
      </c>
      <c r="Z118" s="4">
        <v>6695</v>
      </c>
      <c r="AA118" s="5" t="s">
        <v>129</v>
      </c>
      <c r="AB118" s="4">
        <v>1000</v>
      </c>
      <c r="AC118" s="3"/>
    </row>
    <row r="119" spans="20:29" ht="14.1" customHeight="1" x14ac:dyDescent="0.15">
      <c r="T119" s="3" t="s">
        <v>43</v>
      </c>
      <c r="U119" s="3"/>
      <c r="V119" s="3" t="s">
        <v>44</v>
      </c>
      <c r="W119" s="5" t="s">
        <v>130</v>
      </c>
      <c r="X119" s="3"/>
      <c r="Y119" s="4">
        <v>-4437</v>
      </c>
      <c r="Z119" s="4">
        <v>4748</v>
      </c>
      <c r="AA119" s="5" t="s">
        <v>132</v>
      </c>
      <c r="AB119" s="4">
        <v>1000</v>
      </c>
      <c r="AC119" s="3"/>
    </row>
    <row r="120" spans="20:29" ht="14.1" customHeight="1" x14ac:dyDescent="0.15">
      <c r="T120" s="3"/>
      <c r="U120" s="3"/>
      <c r="V120" s="3" t="s">
        <v>45</v>
      </c>
      <c r="W120" s="4">
        <v>-3161</v>
      </c>
      <c r="X120" s="3"/>
      <c r="Y120" s="4">
        <v>-7754</v>
      </c>
      <c r="Z120" s="4">
        <v>1431</v>
      </c>
      <c r="AA120" s="4">
        <v>-1392</v>
      </c>
      <c r="AB120" s="4">
        <v>1000</v>
      </c>
      <c r="AC120" s="3"/>
    </row>
    <row r="121" spans="20:29" ht="14.1" customHeight="1" x14ac:dyDescent="0.15">
      <c r="T121" s="3"/>
      <c r="U121" s="3"/>
      <c r="V121" s="3" t="s">
        <v>48</v>
      </c>
      <c r="W121" s="4">
        <v>-2200</v>
      </c>
      <c r="X121" s="3"/>
      <c r="Y121" s="4">
        <v>-6721</v>
      </c>
      <c r="Z121" s="4">
        <v>2322</v>
      </c>
      <c r="AA121" s="5" t="s">
        <v>133</v>
      </c>
      <c r="AB121" s="4">
        <v>1000</v>
      </c>
      <c r="AC121" s="3"/>
    </row>
    <row r="122" spans="20:29" ht="14.1" customHeight="1" x14ac:dyDescent="0.15">
      <c r="T122" s="3"/>
      <c r="U122" s="3"/>
      <c r="V122" s="3" t="s">
        <v>49</v>
      </c>
      <c r="W122" s="4">
        <v>-3103</v>
      </c>
      <c r="X122" s="3"/>
      <c r="Y122" s="4">
        <v>-7695</v>
      </c>
      <c r="Z122" s="4">
        <v>1490</v>
      </c>
      <c r="AA122" s="4">
        <v>-1367</v>
      </c>
      <c r="AB122" s="4">
        <v>1000</v>
      </c>
      <c r="AC122" s="3"/>
    </row>
    <row r="123" spans="20:29" ht="14.1" customHeight="1" x14ac:dyDescent="0.15">
      <c r="T123" s="3"/>
      <c r="U123" s="3"/>
      <c r="V123" s="3" t="s">
        <v>50</v>
      </c>
      <c r="W123" s="4">
        <v>-4269</v>
      </c>
      <c r="X123" s="3"/>
      <c r="Y123" s="4">
        <v>-8861</v>
      </c>
      <c r="Z123" s="5" t="s">
        <v>134</v>
      </c>
      <c r="AA123" s="4">
        <v>-1880</v>
      </c>
      <c r="AB123" s="5" t="s">
        <v>131</v>
      </c>
      <c r="AC123" s="3"/>
    </row>
    <row r="124" spans="20:29" ht="14.1" customHeight="1" x14ac:dyDescent="0.15">
      <c r="T124" s="3"/>
      <c r="U124" s="3"/>
      <c r="V124" s="3" t="s">
        <v>53</v>
      </c>
      <c r="W124" s="4">
        <v>-2446</v>
      </c>
      <c r="X124" s="3"/>
      <c r="Y124" s="4">
        <v>-6967</v>
      </c>
      <c r="Z124" s="4">
        <v>2075</v>
      </c>
      <c r="AA124" s="4">
        <v>-1077</v>
      </c>
      <c r="AB124" s="4">
        <v>1000</v>
      </c>
      <c r="AC124" s="3"/>
    </row>
    <row r="125" spans="20:29" ht="14.1" customHeight="1" x14ac:dyDescent="0.15">
      <c r="T125" s="3"/>
      <c r="U125" s="3"/>
      <c r="V125" s="3" t="s">
        <v>54</v>
      </c>
      <c r="W125" s="4">
        <v>-2584</v>
      </c>
      <c r="X125" s="3"/>
      <c r="Y125" s="4">
        <v>-7176</v>
      </c>
      <c r="Z125" s="4">
        <v>2009</v>
      </c>
      <c r="AA125" s="4">
        <v>-1138</v>
      </c>
      <c r="AB125" s="4">
        <v>1000</v>
      </c>
      <c r="AC125" s="3"/>
    </row>
    <row r="126" spans="20:29" ht="14.1" customHeight="1" x14ac:dyDescent="0.15">
      <c r="T126" s="3"/>
      <c r="U126" s="3"/>
      <c r="V126" s="3" t="s">
        <v>55</v>
      </c>
      <c r="W126" s="4">
        <v>-4269</v>
      </c>
      <c r="X126" s="3"/>
      <c r="Y126" s="4">
        <v>-8861</v>
      </c>
      <c r="Z126" s="5" t="s">
        <v>134</v>
      </c>
      <c r="AA126" s="4">
        <v>-1880</v>
      </c>
      <c r="AB126" s="5" t="s">
        <v>131</v>
      </c>
      <c r="AC126" s="3"/>
    </row>
    <row r="127" spans="20:29" ht="14.1" customHeight="1" x14ac:dyDescent="0.15">
      <c r="T127" s="3"/>
      <c r="U127" s="3"/>
      <c r="V127" s="3" t="s">
        <v>56</v>
      </c>
      <c r="W127" s="5" t="s">
        <v>135</v>
      </c>
      <c r="X127" s="3"/>
      <c r="Y127" s="4">
        <v>-5497</v>
      </c>
      <c r="Z127" s="4">
        <v>3546</v>
      </c>
      <c r="AA127" s="5" t="s">
        <v>136</v>
      </c>
      <c r="AB127" s="4">
        <v>1000</v>
      </c>
      <c r="AC127" s="3"/>
    </row>
    <row r="128" spans="20:29" ht="14.1" customHeight="1" x14ac:dyDescent="0.15">
      <c r="T128" s="3"/>
      <c r="U128" s="3"/>
      <c r="V128" s="3" t="s">
        <v>57</v>
      </c>
      <c r="W128" s="4">
        <v>-2086</v>
      </c>
      <c r="X128" s="3"/>
      <c r="Y128" s="4">
        <v>-6678</v>
      </c>
      <c r="Z128" s="4">
        <v>2507</v>
      </c>
      <c r="AA128" s="5" t="s">
        <v>137</v>
      </c>
      <c r="AB128" s="4">
        <v>1000</v>
      </c>
      <c r="AC128" s="3"/>
    </row>
    <row r="129" spans="20:29" ht="14.1" customHeight="1" x14ac:dyDescent="0.15">
      <c r="T129" s="3"/>
      <c r="U129" s="3"/>
      <c r="V129" s="3" t="s">
        <v>58</v>
      </c>
      <c r="W129" s="4">
        <v>-1405</v>
      </c>
      <c r="X129" s="3"/>
      <c r="Y129" s="4">
        <v>-5998</v>
      </c>
      <c r="Z129" s="4">
        <v>3187</v>
      </c>
      <c r="AA129" s="5" t="s">
        <v>138</v>
      </c>
      <c r="AB129" s="4">
        <v>1000</v>
      </c>
      <c r="AC129" s="3"/>
    </row>
    <row r="130" spans="20:29" ht="14.1" customHeight="1" x14ac:dyDescent="0.15">
      <c r="T130" s="3"/>
      <c r="U130" s="3"/>
      <c r="V130" s="3" t="s">
        <v>59</v>
      </c>
      <c r="W130" s="4">
        <v>-1069</v>
      </c>
      <c r="X130" s="3"/>
      <c r="Y130" s="4">
        <v>-5591</v>
      </c>
      <c r="Z130" s="4">
        <v>3452</v>
      </c>
      <c r="AA130" s="5" t="s">
        <v>139</v>
      </c>
      <c r="AB130" s="4">
        <v>1000</v>
      </c>
      <c r="AC130" s="3"/>
    </row>
    <row r="131" spans="20:29" ht="14.1" customHeight="1" x14ac:dyDescent="0.15">
      <c r="T131" s="3"/>
      <c r="U131" s="3"/>
      <c r="V131" s="3" t="s">
        <v>60</v>
      </c>
      <c r="W131" s="4">
        <v>1118</v>
      </c>
      <c r="X131" s="3"/>
      <c r="Y131" s="4">
        <v>-3475</v>
      </c>
      <c r="Z131" s="4">
        <v>5710</v>
      </c>
      <c r="AA131" s="5" t="s">
        <v>141</v>
      </c>
      <c r="AB131" s="4">
        <v>1000</v>
      </c>
      <c r="AC131" s="3"/>
    </row>
    <row r="132" spans="20:29" ht="14.1" customHeight="1" x14ac:dyDescent="0.15">
      <c r="T132" s="3" t="s">
        <v>44</v>
      </c>
      <c r="U132" s="3"/>
      <c r="V132" s="3" t="s">
        <v>45</v>
      </c>
      <c r="W132" s="4">
        <v>-3317</v>
      </c>
      <c r="X132" s="3"/>
      <c r="Y132" s="4">
        <v>-7909</v>
      </c>
      <c r="Z132" s="4">
        <v>1276</v>
      </c>
      <c r="AA132" s="4">
        <v>-1461</v>
      </c>
      <c r="AB132" s="4">
        <v>1000</v>
      </c>
      <c r="AC132" s="3"/>
    </row>
    <row r="133" spans="20:29" ht="14.1" customHeight="1" x14ac:dyDescent="0.15">
      <c r="T133" s="3"/>
      <c r="U133" s="3"/>
      <c r="V133" s="3" t="s">
        <v>48</v>
      </c>
      <c r="W133" s="4">
        <v>-2355</v>
      </c>
      <c r="X133" s="3"/>
      <c r="Y133" s="4">
        <v>-6947</v>
      </c>
      <c r="Z133" s="4">
        <v>2238</v>
      </c>
      <c r="AA133" s="4">
        <v>-1037</v>
      </c>
      <c r="AB133" s="4">
        <v>1000</v>
      </c>
      <c r="AC133" s="3"/>
    </row>
    <row r="134" spans="20:29" ht="14.1" customHeight="1" x14ac:dyDescent="0.15">
      <c r="T134" s="3"/>
      <c r="U134" s="3"/>
      <c r="V134" s="3" t="s">
        <v>49</v>
      </c>
      <c r="W134" s="4">
        <v>-3258</v>
      </c>
      <c r="X134" s="3"/>
      <c r="Y134" s="4">
        <v>-7779</v>
      </c>
      <c r="Z134" s="4">
        <v>1263</v>
      </c>
      <c r="AA134" s="4">
        <v>-1435</v>
      </c>
      <c r="AB134" s="4">
        <v>1000</v>
      </c>
      <c r="AC134" s="3"/>
    </row>
    <row r="135" spans="20:29" ht="14.1" customHeight="1" x14ac:dyDescent="0.15">
      <c r="T135" s="3"/>
      <c r="U135" s="3"/>
      <c r="V135" s="3" t="s">
        <v>50</v>
      </c>
      <c r="W135" s="4">
        <v>-4424</v>
      </c>
      <c r="X135" s="3"/>
      <c r="Y135" s="4">
        <v>-9016</v>
      </c>
      <c r="Z135" s="5" t="s">
        <v>142</v>
      </c>
      <c r="AA135" s="4">
        <v>-1948</v>
      </c>
      <c r="AB135" s="5" t="s">
        <v>143</v>
      </c>
      <c r="AC135" s="3"/>
    </row>
    <row r="136" spans="20:29" ht="14.1" customHeight="1" x14ac:dyDescent="0.15">
      <c r="T136" s="3"/>
      <c r="U136" s="3"/>
      <c r="V136" s="3" t="s">
        <v>53</v>
      </c>
      <c r="W136" s="4">
        <v>-2601</v>
      </c>
      <c r="X136" s="3"/>
      <c r="Y136" s="4">
        <v>-7194</v>
      </c>
      <c r="Z136" s="4">
        <v>1991</v>
      </c>
      <c r="AA136" s="4">
        <v>-1146</v>
      </c>
      <c r="AB136" s="4">
        <v>1000</v>
      </c>
      <c r="AC136" s="3"/>
    </row>
    <row r="137" spans="20:29" ht="14.1" customHeight="1" x14ac:dyDescent="0.15">
      <c r="T137" s="3"/>
      <c r="U137" s="3"/>
      <c r="V137" s="3" t="s">
        <v>54</v>
      </c>
      <c r="W137" s="4">
        <v>-2739</v>
      </c>
      <c r="X137" s="3"/>
      <c r="Y137" s="4">
        <v>-7260</v>
      </c>
      <c r="Z137" s="4">
        <v>1782</v>
      </c>
      <c r="AA137" s="4">
        <v>-1206</v>
      </c>
      <c r="AB137" s="4">
        <v>1000</v>
      </c>
      <c r="AC137" s="3"/>
    </row>
    <row r="138" spans="20:29" ht="14.1" customHeight="1" x14ac:dyDescent="0.15">
      <c r="T138" s="3"/>
      <c r="U138" s="3"/>
      <c r="V138" s="3" t="s">
        <v>55</v>
      </c>
      <c r="W138" s="4">
        <v>-4424</v>
      </c>
      <c r="X138" s="3"/>
      <c r="Y138" s="4">
        <v>-9016</v>
      </c>
      <c r="Z138" s="5" t="s">
        <v>142</v>
      </c>
      <c r="AA138" s="4">
        <v>-1948</v>
      </c>
      <c r="AB138" s="5" t="s">
        <v>143</v>
      </c>
      <c r="AC138" s="3"/>
    </row>
    <row r="139" spans="20:29" ht="14.1" customHeight="1" x14ac:dyDescent="0.15">
      <c r="T139" s="3"/>
      <c r="U139" s="3"/>
      <c r="V139" s="3" t="s">
        <v>56</v>
      </c>
      <c r="W139" s="4">
        <v>-1131</v>
      </c>
      <c r="X139" s="3"/>
      <c r="Y139" s="4">
        <v>-5723</v>
      </c>
      <c r="Z139" s="4">
        <v>3462</v>
      </c>
      <c r="AA139" s="5" t="s">
        <v>144</v>
      </c>
      <c r="AB139" s="4">
        <v>1000</v>
      </c>
      <c r="AC139" s="3"/>
    </row>
    <row r="140" spans="20:29" ht="14.1" customHeight="1" x14ac:dyDescent="0.15">
      <c r="T140" s="3"/>
      <c r="U140" s="3"/>
      <c r="V140" s="3" t="s">
        <v>57</v>
      </c>
      <c r="W140" s="4">
        <v>-2241</v>
      </c>
      <c r="X140" s="3"/>
      <c r="Y140" s="4">
        <v>-6762</v>
      </c>
      <c r="Z140" s="4">
        <v>2280</v>
      </c>
      <c r="AA140" s="5" t="s">
        <v>145</v>
      </c>
      <c r="AB140" s="4">
        <v>1000</v>
      </c>
      <c r="AC140" s="3"/>
    </row>
    <row r="141" spans="20:29" ht="14.1" customHeight="1" x14ac:dyDescent="0.15">
      <c r="T141" s="3"/>
      <c r="U141" s="3"/>
      <c r="V141" s="3" t="s">
        <v>58</v>
      </c>
      <c r="W141" s="4">
        <v>-1560</v>
      </c>
      <c r="X141" s="3"/>
      <c r="Y141" s="4">
        <v>-6153</v>
      </c>
      <c r="Z141" s="4">
        <v>3032</v>
      </c>
      <c r="AA141" s="5" t="s">
        <v>146</v>
      </c>
      <c r="AB141" s="4">
        <v>1000</v>
      </c>
      <c r="AC141" s="3"/>
    </row>
    <row r="142" spans="20:29" ht="14.1" customHeight="1" x14ac:dyDescent="0.15">
      <c r="T142" s="3"/>
      <c r="U142" s="3"/>
      <c r="V142" s="3" t="s">
        <v>59</v>
      </c>
      <c r="W142" s="4">
        <v>-1225</v>
      </c>
      <c r="X142" s="3"/>
      <c r="Y142" s="4">
        <v>-5817</v>
      </c>
      <c r="Z142" s="4">
        <v>3368</v>
      </c>
      <c r="AA142" s="5" t="s">
        <v>147</v>
      </c>
      <c r="AB142" s="4">
        <v>1000</v>
      </c>
      <c r="AC142" s="3"/>
    </row>
    <row r="143" spans="20:29" ht="14.1" customHeight="1" x14ac:dyDescent="0.15">
      <c r="T143" s="3"/>
      <c r="U143" s="3"/>
      <c r="V143" s="3" t="s">
        <v>60</v>
      </c>
      <c r="W143" s="5" t="s">
        <v>148</v>
      </c>
      <c r="X143" s="3"/>
      <c r="Y143" s="4">
        <v>-3558</v>
      </c>
      <c r="Z143" s="4">
        <v>5484</v>
      </c>
      <c r="AA143" s="5" t="s">
        <v>149</v>
      </c>
      <c r="AB143" s="4">
        <v>1000</v>
      </c>
      <c r="AC143" s="3"/>
    </row>
    <row r="144" spans="20:29" ht="14.1" customHeight="1" x14ac:dyDescent="0.15">
      <c r="T144" s="3" t="s">
        <v>45</v>
      </c>
      <c r="U144" s="3"/>
      <c r="V144" s="3" t="s">
        <v>48</v>
      </c>
      <c r="W144" s="5" t="s">
        <v>150</v>
      </c>
      <c r="X144" s="3"/>
      <c r="Y144" s="4">
        <v>-3631</v>
      </c>
      <c r="Z144" s="4">
        <v>5554</v>
      </c>
      <c r="AA144" s="5" t="s">
        <v>149</v>
      </c>
      <c r="AB144" s="4">
        <v>1000</v>
      </c>
      <c r="AC144" s="3"/>
    </row>
    <row r="145" spans="20:29" ht="14.1" customHeight="1" x14ac:dyDescent="0.15">
      <c r="T145" s="3"/>
      <c r="U145" s="3"/>
      <c r="V145" s="3" t="s">
        <v>49</v>
      </c>
      <c r="W145" s="5" t="s">
        <v>52</v>
      </c>
      <c r="X145" s="3"/>
      <c r="Y145" s="4">
        <v>-4534</v>
      </c>
      <c r="Z145" s="4">
        <v>4651</v>
      </c>
      <c r="AA145" s="5" t="s">
        <v>151</v>
      </c>
      <c r="AB145" s="4">
        <v>1000</v>
      </c>
      <c r="AC145" s="3"/>
    </row>
    <row r="146" spans="20:29" ht="14.1" customHeight="1" x14ac:dyDescent="0.15">
      <c r="T146" s="3"/>
      <c r="U146" s="3"/>
      <c r="V146" s="3" t="s">
        <v>50</v>
      </c>
      <c r="W146" s="4">
        <v>-1107</v>
      </c>
      <c r="X146" s="3"/>
      <c r="Y146" s="4">
        <v>-5628</v>
      </c>
      <c r="Z146" s="4">
        <v>3414</v>
      </c>
      <c r="AA146" s="5" t="s">
        <v>152</v>
      </c>
      <c r="AB146" s="4">
        <v>1000</v>
      </c>
      <c r="AC146" s="3"/>
    </row>
    <row r="147" spans="20:29" ht="14.1" customHeight="1" x14ac:dyDescent="0.15">
      <c r="T147" s="3"/>
      <c r="U147" s="3"/>
      <c r="V147" s="3" t="s">
        <v>53</v>
      </c>
      <c r="W147" s="5" t="s">
        <v>153</v>
      </c>
      <c r="X147" s="3"/>
      <c r="Y147" s="4">
        <v>-3877</v>
      </c>
      <c r="Z147" s="4">
        <v>5308</v>
      </c>
      <c r="AA147" s="5" t="s">
        <v>154</v>
      </c>
      <c r="AB147" s="4">
        <v>1000</v>
      </c>
      <c r="AC147" s="3"/>
    </row>
    <row r="148" spans="20:29" ht="14.1" customHeight="1" x14ac:dyDescent="0.15">
      <c r="T148" s="3"/>
      <c r="U148" s="3"/>
      <c r="V148" s="3" t="s">
        <v>54</v>
      </c>
      <c r="W148" s="5" t="s">
        <v>155</v>
      </c>
      <c r="X148" s="3"/>
      <c r="Y148" s="4">
        <v>-4015</v>
      </c>
      <c r="Z148" s="4">
        <v>5170</v>
      </c>
      <c r="AA148" s="5" t="s">
        <v>156</v>
      </c>
      <c r="AB148" s="4">
        <v>1000</v>
      </c>
      <c r="AC148" s="3"/>
    </row>
    <row r="149" spans="20:29" ht="14.1" customHeight="1" x14ac:dyDescent="0.15">
      <c r="T149" s="3"/>
      <c r="U149" s="3"/>
      <c r="V149" s="3" t="s">
        <v>55</v>
      </c>
      <c r="W149" s="4">
        <v>-1107</v>
      </c>
      <c r="X149" s="3"/>
      <c r="Y149" s="4">
        <v>-5628</v>
      </c>
      <c r="Z149" s="4">
        <v>3414</v>
      </c>
      <c r="AA149" s="5" t="s">
        <v>152</v>
      </c>
      <c r="AB149" s="4">
        <v>1000</v>
      </c>
      <c r="AC149" s="3"/>
    </row>
    <row r="150" spans="20:29" ht="14.1" customHeight="1" x14ac:dyDescent="0.15">
      <c r="T150" s="3"/>
      <c r="U150" s="3"/>
      <c r="V150" s="3" t="s">
        <v>56</v>
      </c>
      <c r="W150" s="4">
        <v>2186</v>
      </c>
      <c r="X150" s="3"/>
      <c r="Y150" s="4">
        <v>-2407</v>
      </c>
      <c r="Z150" s="4">
        <v>6778</v>
      </c>
      <c r="AA150" s="5" t="s">
        <v>148</v>
      </c>
      <c r="AB150" s="4">
        <v>1000</v>
      </c>
      <c r="AC150" s="3"/>
    </row>
    <row r="151" spans="20:29" ht="14.1" customHeight="1" x14ac:dyDescent="0.15">
      <c r="T151" s="3"/>
      <c r="U151" s="3"/>
      <c r="V151" s="3" t="s">
        <v>57</v>
      </c>
      <c r="W151" s="4">
        <v>1076</v>
      </c>
      <c r="X151" s="3"/>
      <c r="Y151" s="4">
        <v>-3517</v>
      </c>
      <c r="Z151" s="4">
        <v>5668</v>
      </c>
      <c r="AA151" s="5" t="s">
        <v>157</v>
      </c>
      <c r="AB151" s="4">
        <v>1000</v>
      </c>
      <c r="AC151" s="3"/>
    </row>
    <row r="152" spans="20:29" ht="14.1" customHeight="1" x14ac:dyDescent="0.15">
      <c r="T152" s="3"/>
      <c r="U152" s="3"/>
      <c r="V152" s="3" t="s">
        <v>58</v>
      </c>
      <c r="W152" s="4">
        <v>1756</v>
      </c>
      <c r="X152" s="3"/>
      <c r="Y152" s="4">
        <v>-2765</v>
      </c>
      <c r="Z152" s="4">
        <v>6278</v>
      </c>
      <c r="AA152" s="5" t="s">
        <v>158</v>
      </c>
      <c r="AB152" s="4">
        <v>1000</v>
      </c>
      <c r="AC152" s="3"/>
    </row>
    <row r="153" spans="20:29" ht="14.1" customHeight="1" x14ac:dyDescent="0.15">
      <c r="T153" s="3"/>
      <c r="U153" s="3"/>
      <c r="V153" s="3" t="s">
        <v>59</v>
      </c>
      <c r="W153" s="4">
        <v>2092</v>
      </c>
      <c r="X153" s="3"/>
      <c r="Y153" s="4">
        <v>-2500</v>
      </c>
      <c r="Z153" s="4">
        <v>6685</v>
      </c>
      <c r="AA153" s="5" t="s">
        <v>140</v>
      </c>
      <c r="AB153" s="4">
        <v>1000</v>
      </c>
      <c r="AC153" s="3"/>
    </row>
    <row r="154" spans="20:29" ht="14.1" customHeight="1" x14ac:dyDescent="0.15">
      <c r="T154" s="3"/>
      <c r="U154" s="3"/>
      <c r="V154" s="3" t="s">
        <v>60</v>
      </c>
      <c r="W154" s="4">
        <v>4279</v>
      </c>
      <c r="X154" s="3"/>
      <c r="Y154" s="5" t="s">
        <v>159</v>
      </c>
      <c r="Z154" s="4">
        <v>8872</v>
      </c>
      <c r="AA154" s="4">
        <v>1885</v>
      </c>
      <c r="AB154" s="5" t="s">
        <v>160</v>
      </c>
      <c r="AC154" s="3"/>
    </row>
    <row r="155" spans="20:29" ht="14.1" customHeight="1" x14ac:dyDescent="0.15">
      <c r="T155" s="3" t="s">
        <v>48</v>
      </c>
      <c r="U155" s="3"/>
      <c r="V155" s="3" t="s">
        <v>49</v>
      </c>
      <c r="W155" s="5" t="s">
        <v>161</v>
      </c>
      <c r="X155" s="3"/>
      <c r="Y155" s="4">
        <v>-5496</v>
      </c>
      <c r="Z155" s="4">
        <v>3689</v>
      </c>
      <c r="AA155" s="5" t="s">
        <v>162</v>
      </c>
      <c r="AB155" s="4">
        <v>1000</v>
      </c>
      <c r="AC155" s="3"/>
    </row>
    <row r="156" spans="20:29" ht="14.1" customHeight="1" x14ac:dyDescent="0.15">
      <c r="T156" s="3"/>
      <c r="U156" s="3"/>
      <c r="V156" s="3" t="s">
        <v>50</v>
      </c>
      <c r="W156" s="4">
        <v>-2069</v>
      </c>
      <c r="X156" s="3"/>
      <c r="Y156" s="4">
        <v>-6661</v>
      </c>
      <c r="Z156" s="4">
        <v>2524</v>
      </c>
      <c r="AA156" s="5" t="s">
        <v>163</v>
      </c>
      <c r="AB156" s="4">
        <v>1000</v>
      </c>
      <c r="AC156" s="3"/>
    </row>
    <row r="157" spans="20:29" ht="14.1" customHeight="1" x14ac:dyDescent="0.15">
      <c r="T157" s="3"/>
      <c r="U157" s="3"/>
      <c r="V157" s="3" t="s">
        <v>53</v>
      </c>
      <c r="W157" s="5" t="s">
        <v>164</v>
      </c>
      <c r="X157" s="3"/>
      <c r="Y157" s="4">
        <v>-4768</v>
      </c>
      <c r="Z157" s="4">
        <v>4275</v>
      </c>
      <c r="AA157" s="5" t="s">
        <v>165</v>
      </c>
      <c r="AB157" s="4">
        <v>1000</v>
      </c>
      <c r="AC157" s="3"/>
    </row>
    <row r="158" spans="20:29" ht="14.1" customHeight="1" x14ac:dyDescent="0.15">
      <c r="T158" s="3"/>
      <c r="U158" s="3"/>
      <c r="V158" s="3" t="s">
        <v>54</v>
      </c>
      <c r="W158" s="5" t="s">
        <v>166</v>
      </c>
      <c r="X158" s="3"/>
      <c r="Y158" s="4">
        <v>-4977</v>
      </c>
      <c r="Z158" s="4">
        <v>4208</v>
      </c>
      <c r="AA158" s="5" t="s">
        <v>167</v>
      </c>
      <c r="AB158" s="4">
        <v>1000</v>
      </c>
      <c r="AC158" s="3"/>
    </row>
    <row r="159" spans="20:29" ht="14.1" customHeight="1" x14ac:dyDescent="0.15">
      <c r="T159" s="3"/>
      <c r="U159" s="3"/>
      <c r="V159" s="3" t="s">
        <v>55</v>
      </c>
      <c r="W159" s="4">
        <v>-2069</v>
      </c>
      <c r="X159" s="3"/>
      <c r="Y159" s="4">
        <v>-6661</v>
      </c>
      <c r="Z159" s="4">
        <v>2524</v>
      </c>
      <c r="AA159" s="5" t="s">
        <v>163</v>
      </c>
      <c r="AB159" s="4">
        <v>1000</v>
      </c>
      <c r="AC159" s="3"/>
    </row>
    <row r="160" spans="20:29" ht="14.1" customHeight="1" x14ac:dyDescent="0.15">
      <c r="T160" s="3"/>
      <c r="U160" s="3"/>
      <c r="V160" s="3" t="s">
        <v>56</v>
      </c>
      <c r="W160" s="4">
        <v>1224</v>
      </c>
      <c r="X160" s="3"/>
      <c r="Y160" s="4">
        <v>-3297</v>
      </c>
      <c r="Z160" s="4">
        <v>5745</v>
      </c>
      <c r="AA160" s="5" t="s">
        <v>168</v>
      </c>
      <c r="AB160" s="4">
        <v>1000</v>
      </c>
      <c r="AC160" s="3"/>
    </row>
    <row r="161" spans="20:29" ht="14.1" customHeight="1" x14ac:dyDescent="0.15">
      <c r="T161" s="3"/>
      <c r="U161" s="3"/>
      <c r="V161" s="3" t="s">
        <v>57</v>
      </c>
      <c r="W161" s="5" t="s">
        <v>169</v>
      </c>
      <c r="X161" s="3"/>
      <c r="Y161" s="4">
        <v>-4478</v>
      </c>
      <c r="Z161" s="4">
        <v>4707</v>
      </c>
      <c r="AA161" s="5" t="s">
        <v>170</v>
      </c>
      <c r="AB161" s="4">
        <v>1000</v>
      </c>
      <c r="AC161" s="3"/>
    </row>
    <row r="162" spans="20:29" ht="14.1" customHeight="1" x14ac:dyDescent="0.15">
      <c r="T162" s="3"/>
      <c r="U162" s="3"/>
      <c r="V162" s="3" t="s">
        <v>58</v>
      </c>
      <c r="W162" s="5" t="s">
        <v>22</v>
      </c>
      <c r="X162" s="3"/>
      <c r="Y162" s="4">
        <v>-3798</v>
      </c>
      <c r="Z162" s="4">
        <v>5387</v>
      </c>
      <c r="AA162" s="5" t="s">
        <v>171</v>
      </c>
      <c r="AB162" s="4">
        <v>1000</v>
      </c>
      <c r="AC162" s="3"/>
    </row>
    <row r="163" spans="20:29" ht="14.1" customHeight="1" x14ac:dyDescent="0.15">
      <c r="T163" s="3"/>
      <c r="U163" s="3"/>
      <c r="V163" s="3" t="s">
        <v>59</v>
      </c>
      <c r="W163" s="4">
        <v>1130</v>
      </c>
      <c r="X163" s="3"/>
      <c r="Y163" s="4">
        <v>-3391</v>
      </c>
      <c r="Z163" s="4">
        <v>5651</v>
      </c>
      <c r="AA163" s="5" t="s">
        <v>172</v>
      </c>
      <c r="AB163" s="4">
        <v>1000</v>
      </c>
      <c r="AC163" s="3"/>
    </row>
    <row r="164" spans="20:29" ht="14.1" customHeight="1" x14ac:dyDescent="0.15">
      <c r="T164" s="3"/>
      <c r="U164" s="3"/>
      <c r="V164" s="3" t="s">
        <v>60</v>
      </c>
      <c r="W164" s="4">
        <v>3318</v>
      </c>
      <c r="X164" s="3"/>
      <c r="Y164" s="4">
        <v>-1275</v>
      </c>
      <c r="Z164" s="4">
        <v>7910</v>
      </c>
      <c r="AA164" s="4">
        <v>1461</v>
      </c>
      <c r="AB164" s="4">
        <v>1000</v>
      </c>
      <c r="AC164" s="3"/>
    </row>
    <row r="165" spans="20:29" ht="14.1" customHeight="1" x14ac:dyDescent="0.15">
      <c r="T165" s="3" t="s">
        <v>49</v>
      </c>
      <c r="U165" s="3"/>
      <c r="V165" s="3" t="s">
        <v>50</v>
      </c>
      <c r="W165" s="4">
        <v>-1166</v>
      </c>
      <c r="X165" s="3"/>
      <c r="Y165" s="4">
        <v>-5758</v>
      </c>
      <c r="Z165" s="4">
        <v>3427</v>
      </c>
      <c r="AA165" s="5" t="s">
        <v>173</v>
      </c>
      <c r="AB165" s="4">
        <v>1000</v>
      </c>
      <c r="AC165" s="3"/>
    </row>
    <row r="166" spans="20:29" ht="14.1" customHeight="1" x14ac:dyDescent="0.15">
      <c r="T166" s="3"/>
      <c r="U166" s="3"/>
      <c r="V166" s="3" t="s">
        <v>53</v>
      </c>
      <c r="W166" s="5" t="s">
        <v>174</v>
      </c>
      <c r="X166" s="3"/>
      <c r="Y166" s="4">
        <v>-3935</v>
      </c>
      <c r="Z166" s="4">
        <v>5250</v>
      </c>
      <c r="AA166" s="5" t="s">
        <v>175</v>
      </c>
      <c r="AB166" s="4">
        <v>1000</v>
      </c>
      <c r="AC166" s="3"/>
    </row>
    <row r="167" spans="20:29" ht="14.1" customHeight="1" x14ac:dyDescent="0.15">
      <c r="T167" s="3"/>
      <c r="U167" s="3"/>
      <c r="V167" s="3" t="s">
        <v>54</v>
      </c>
      <c r="W167" s="5" t="s">
        <v>176</v>
      </c>
      <c r="X167" s="3"/>
      <c r="Y167" s="4">
        <v>-4002</v>
      </c>
      <c r="Z167" s="4">
        <v>5040</v>
      </c>
      <c r="AA167" s="5" t="s">
        <v>177</v>
      </c>
      <c r="AB167" s="4">
        <v>1000</v>
      </c>
      <c r="AC167" s="3"/>
    </row>
    <row r="168" spans="20:29" ht="14.1" customHeight="1" x14ac:dyDescent="0.15">
      <c r="T168" s="3"/>
      <c r="U168" s="3"/>
      <c r="V168" s="3" t="s">
        <v>55</v>
      </c>
      <c r="W168" s="4">
        <v>-1166</v>
      </c>
      <c r="X168" s="3"/>
      <c r="Y168" s="4">
        <v>-5758</v>
      </c>
      <c r="Z168" s="4">
        <v>3427</v>
      </c>
      <c r="AA168" s="5" t="s">
        <v>173</v>
      </c>
      <c r="AB168" s="4">
        <v>1000</v>
      </c>
      <c r="AC168" s="3"/>
    </row>
    <row r="169" spans="20:29" ht="14.1" customHeight="1" x14ac:dyDescent="0.15">
      <c r="T169" s="3"/>
      <c r="U169" s="3"/>
      <c r="V169" s="3" t="s">
        <v>56</v>
      </c>
      <c r="W169" s="4">
        <v>2127</v>
      </c>
      <c r="X169" s="3"/>
      <c r="Y169" s="4">
        <v>-2465</v>
      </c>
      <c r="Z169" s="4">
        <v>6720</v>
      </c>
      <c r="AA169" s="5" t="s">
        <v>61</v>
      </c>
      <c r="AB169" s="4">
        <v>1000</v>
      </c>
      <c r="AC169" s="3"/>
    </row>
    <row r="170" spans="20:29" ht="14.1" customHeight="1" x14ac:dyDescent="0.15">
      <c r="T170" s="3"/>
      <c r="U170" s="3"/>
      <c r="V170" s="3" t="s">
        <v>57</v>
      </c>
      <c r="W170" s="4">
        <v>1017</v>
      </c>
      <c r="X170" s="3"/>
      <c r="Y170" s="4">
        <v>-3504</v>
      </c>
      <c r="Z170" s="4">
        <v>5539</v>
      </c>
      <c r="AA170" s="5" t="s">
        <v>178</v>
      </c>
      <c r="AB170" s="4">
        <v>1000</v>
      </c>
      <c r="AC170" s="3"/>
    </row>
    <row r="171" spans="20:29" ht="14.1" customHeight="1" x14ac:dyDescent="0.15">
      <c r="T171" s="3"/>
      <c r="U171" s="3"/>
      <c r="V171" s="3" t="s">
        <v>58</v>
      </c>
      <c r="W171" s="4">
        <v>1698</v>
      </c>
      <c r="X171" s="3"/>
      <c r="Y171" s="4">
        <v>-2895</v>
      </c>
      <c r="Z171" s="4">
        <v>6290</v>
      </c>
      <c r="AA171" s="5" t="s">
        <v>179</v>
      </c>
      <c r="AB171" s="4">
        <v>1000</v>
      </c>
      <c r="AC171" s="3"/>
    </row>
    <row r="172" spans="20:29" ht="14.1" customHeight="1" x14ac:dyDescent="0.15">
      <c r="T172" s="3"/>
      <c r="U172" s="3"/>
      <c r="V172" s="3" t="s">
        <v>59</v>
      </c>
      <c r="W172" s="4">
        <v>2034</v>
      </c>
      <c r="X172" s="3"/>
      <c r="Y172" s="4">
        <v>-2559</v>
      </c>
      <c r="Z172" s="4">
        <v>6626</v>
      </c>
      <c r="AA172" s="5" t="s">
        <v>180</v>
      </c>
      <c r="AB172" s="4">
        <v>1000</v>
      </c>
      <c r="AC172" s="3"/>
    </row>
    <row r="173" spans="20:29" ht="14.1" customHeight="1" x14ac:dyDescent="0.15">
      <c r="T173" s="3"/>
      <c r="U173" s="3"/>
      <c r="V173" s="3" t="s">
        <v>60</v>
      </c>
      <c r="W173" s="4">
        <v>4221</v>
      </c>
      <c r="X173" s="3"/>
      <c r="Y173" s="5" t="s">
        <v>181</v>
      </c>
      <c r="Z173" s="4">
        <v>8742</v>
      </c>
      <c r="AA173" s="4">
        <v>1859</v>
      </c>
      <c r="AB173" s="5" t="s">
        <v>182</v>
      </c>
      <c r="AC173" s="3"/>
    </row>
    <row r="174" spans="20:29" ht="14.1" customHeight="1" x14ac:dyDescent="0.15">
      <c r="T174" s="3" t="s">
        <v>50</v>
      </c>
      <c r="U174" s="3"/>
      <c r="V174" s="3" t="s">
        <v>53</v>
      </c>
      <c r="W174" s="4">
        <v>1823</v>
      </c>
      <c r="X174" s="3"/>
      <c r="Y174" s="4">
        <v>-2770</v>
      </c>
      <c r="Z174" s="4">
        <v>6415</v>
      </c>
      <c r="AA174" s="5" t="s">
        <v>183</v>
      </c>
      <c r="AB174" s="4">
        <v>1000</v>
      </c>
      <c r="AC174" s="3"/>
    </row>
    <row r="175" spans="20:29" ht="14.1" customHeight="1" x14ac:dyDescent="0.15">
      <c r="T175" s="3"/>
      <c r="U175" s="3"/>
      <c r="V175" s="3" t="s">
        <v>54</v>
      </c>
      <c r="W175" s="4">
        <v>1685</v>
      </c>
      <c r="X175" s="3"/>
      <c r="Y175" s="4">
        <v>-2908</v>
      </c>
      <c r="Z175" s="4">
        <v>6277</v>
      </c>
      <c r="AA175" s="5" t="s">
        <v>184</v>
      </c>
      <c r="AB175" s="4">
        <v>1000</v>
      </c>
      <c r="AC175" s="3"/>
    </row>
    <row r="176" spans="20:29" ht="14.1" customHeight="1" x14ac:dyDescent="0.15">
      <c r="T176" s="3"/>
      <c r="U176" s="3"/>
      <c r="V176" s="3" t="s">
        <v>55</v>
      </c>
      <c r="W176" s="7">
        <v>4.9129999999999998E-12</v>
      </c>
      <c r="X176" s="3"/>
      <c r="Y176" s="4">
        <v>-4521</v>
      </c>
      <c r="Z176" s="4">
        <v>4521</v>
      </c>
      <c r="AA176" s="7">
        <v>1.7759999999999999E-12</v>
      </c>
      <c r="AB176" s="4">
        <v>1000</v>
      </c>
      <c r="AC176" s="3"/>
    </row>
    <row r="177" spans="20:29" ht="14.1" customHeight="1" x14ac:dyDescent="0.15">
      <c r="T177" s="3"/>
      <c r="U177" s="3"/>
      <c r="V177" s="3" t="s">
        <v>56</v>
      </c>
      <c r="W177" s="4">
        <v>3293</v>
      </c>
      <c r="X177" s="3"/>
      <c r="Y177" s="4">
        <v>-1300</v>
      </c>
      <c r="Z177" s="4">
        <v>7885</v>
      </c>
      <c r="AA177" s="4">
        <v>1450</v>
      </c>
      <c r="AB177" s="4">
        <v>1000</v>
      </c>
      <c r="AC177" s="3"/>
    </row>
    <row r="178" spans="20:29" ht="14.1" customHeight="1" x14ac:dyDescent="0.15">
      <c r="T178" s="3"/>
      <c r="U178" s="3"/>
      <c r="V178" s="3" t="s">
        <v>57</v>
      </c>
      <c r="W178" s="4">
        <v>2183</v>
      </c>
      <c r="X178" s="3"/>
      <c r="Y178" s="4">
        <v>-2409</v>
      </c>
      <c r="Z178" s="4">
        <v>6776</v>
      </c>
      <c r="AA178" s="5" t="s">
        <v>150</v>
      </c>
      <c r="AB178" s="4">
        <v>1000</v>
      </c>
      <c r="AC178" s="3"/>
    </row>
    <row r="179" spans="20:29" ht="14.1" customHeight="1" x14ac:dyDescent="0.15">
      <c r="T179" s="3"/>
      <c r="U179" s="3"/>
      <c r="V179" s="3" t="s">
        <v>58</v>
      </c>
      <c r="W179" s="4">
        <v>2864</v>
      </c>
      <c r="X179" s="3"/>
      <c r="Y179" s="4">
        <v>-1658</v>
      </c>
      <c r="Z179" s="4">
        <v>7385</v>
      </c>
      <c r="AA179" s="4">
        <v>1261</v>
      </c>
      <c r="AB179" s="4">
        <v>1000</v>
      </c>
      <c r="AC179" s="3"/>
    </row>
    <row r="180" spans="20:29" ht="14.1" customHeight="1" x14ac:dyDescent="0.15">
      <c r="T180" s="3"/>
      <c r="U180" s="3"/>
      <c r="V180" s="3" t="s">
        <v>59</v>
      </c>
      <c r="W180" s="4">
        <v>3199</v>
      </c>
      <c r="X180" s="3"/>
      <c r="Y180" s="4">
        <v>-1393</v>
      </c>
      <c r="Z180" s="4">
        <v>7792</v>
      </c>
      <c r="AA180" s="4">
        <v>1409</v>
      </c>
      <c r="AB180" s="4">
        <v>1000</v>
      </c>
      <c r="AC180" s="3"/>
    </row>
    <row r="181" spans="20:29" ht="14.1" customHeight="1" x14ac:dyDescent="0.15">
      <c r="T181" s="3"/>
      <c r="U181" s="3"/>
      <c r="V181" s="3" t="s">
        <v>60</v>
      </c>
      <c r="W181" s="4">
        <v>5386</v>
      </c>
      <c r="X181" s="3"/>
      <c r="Y181" s="5" t="s">
        <v>185</v>
      </c>
      <c r="Z181" s="4">
        <v>9979</v>
      </c>
      <c r="AA181" s="4">
        <v>2373</v>
      </c>
      <c r="AB181" s="5" t="s">
        <v>91</v>
      </c>
      <c r="AC181" s="3" t="s">
        <v>47</v>
      </c>
    </row>
    <row r="182" spans="20:29" ht="14.1" customHeight="1" x14ac:dyDescent="0.15">
      <c r="T182" s="3" t="s">
        <v>53</v>
      </c>
      <c r="U182" s="3"/>
      <c r="V182" s="3" t="s">
        <v>54</v>
      </c>
      <c r="W182" s="5" t="s">
        <v>186</v>
      </c>
      <c r="X182" s="3"/>
      <c r="Y182" s="4">
        <v>-4730</v>
      </c>
      <c r="Z182" s="4">
        <v>4455</v>
      </c>
      <c r="AA182" s="5" t="s">
        <v>187</v>
      </c>
      <c r="AB182" s="4">
        <v>1000</v>
      </c>
      <c r="AC182" s="3"/>
    </row>
    <row r="183" spans="20:29" ht="14.1" customHeight="1" x14ac:dyDescent="0.15">
      <c r="T183" s="3"/>
      <c r="U183" s="3"/>
      <c r="V183" s="3" t="s">
        <v>55</v>
      </c>
      <c r="W183" s="4">
        <v>-1823</v>
      </c>
      <c r="X183" s="3"/>
      <c r="Y183" s="4">
        <v>-6415</v>
      </c>
      <c r="Z183" s="4">
        <v>2770</v>
      </c>
      <c r="AA183" s="5" t="s">
        <v>188</v>
      </c>
      <c r="AB183" s="4">
        <v>1000</v>
      </c>
      <c r="AC183" s="3"/>
    </row>
    <row r="184" spans="20:29" ht="14.1" customHeight="1" x14ac:dyDescent="0.15">
      <c r="T184" s="3"/>
      <c r="U184" s="3"/>
      <c r="V184" s="3" t="s">
        <v>56</v>
      </c>
      <c r="W184" s="4">
        <v>1470</v>
      </c>
      <c r="X184" s="3"/>
      <c r="Y184" s="4">
        <v>-3051</v>
      </c>
      <c r="Z184" s="4">
        <v>5992</v>
      </c>
      <c r="AA184" s="5" t="s">
        <v>189</v>
      </c>
      <c r="AB184" s="4">
        <v>1000</v>
      </c>
      <c r="AC184" s="3"/>
    </row>
    <row r="185" spans="20:29" ht="14.1" customHeight="1" x14ac:dyDescent="0.15">
      <c r="T185" s="3"/>
      <c r="U185" s="3"/>
      <c r="V185" s="3" t="s">
        <v>57</v>
      </c>
      <c r="W185" s="5" t="s">
        <v>190</v>
      </c>
      <c r="X185" s="3"/>
      <c r="Y185" s="4">
        <v>-4232</v>
      </c>
      <c r="Z185" s="4">
        <v>4953</v>
      </c>
      <c r="AA185" s="5" t="s">
        <v>191</v>
      </c>
      <c r="AB185" s="4">
        <v>1000</v>
      </c>
      <c r="AC185" s="3"/>
    </row>
    <row r="186" spans="20:29" ht="14.1" customHeight="1" x14ac:dyDescent="0.15">
      <c r="T186" s="3"/>
      <c r="U186" s="3"/>
      <c r="V186" s="3" t="s">
        <v>58</v>
      </c>
      <c r="W186" s="4">
        <v>1041</v>
      </c>
      <c r="X186" s="3"/>
      <c r="Y186" s="4">
        <v>-3552</v>
      </c>
      <c r="Z186" s="4">
        <v>5633</v>
      </c>
      <c r="AA186" s="5" t="s">
        <v>192</v>
      </c>
      <c r="AB186" s="4">
        <v>1000</v>
      </c>
      <c r="AC186" s="3"/>
    </row>
    <row r="187" spans="20:29" ht="14.1" customHeight="1" x14ac:dyDescent="0.15">
      <c r="T187" s="3"/>
      <c r="U187" s="3"/>
      <c r="V187" s="3" t="s">
        <v>59</v>
      </c>
      <c r="W187" s="4">
        <v>1377</v>
      </c>
      <c r="X187" s="3"/>
      <c r="Y187" s="4">
        <v>-3145</v>
      </c>
      <c r="Z187" s="4">
        <v>5898</v>
      </c>
      <c r="AA187" s="5" t="s">
        <v>193</v>
      </c>
      <c r="AB187" s="4">
        <v>1000</v>
      </c>
      <c r="AC187" s="3"/>
    </row>
    <row r="188" spans="20:29" ht="14.1" customHeight="1" x14ac:dyDescent="0.15">
      <c r="T188" s="3"/>
      <c r="U188" s="3"/>
      <c r="V188" s="3" t="s">
        <v>60</v>
      </c>
      <c r="W188" s="4">
        <v>3564</v>
      </c>
      <c r="X188" s="3"/>
      <c r="Y188" s="4">
        <v>-1029</v>
      </c>
      <c r="Z188" s="4">
        <v>8156</v>
      </c>
      <c r="AA188" s="4">
        <v>1570</v>
      </c>
      <c r="AB188" s="5" t="s">
        <v>194</v>
      </c>
      <c r="AC188" s="3"/>
    </row>
    <row r="189" spans="20:29" ht="14.1" customHeight="1" x14ac:dyDescent="0.15">
      <c r="T189" s="3" t="s">
        <v>54</v>
      </c>
      <c r="U189" s="3"/>
      <c r="V189" s="3" t="s">
        <v>55</v>
      </c>
      <c r="W189" s="4">
        <v>-1685</v>
      </c>
      <c r="X189" s="3"/>
      <c r="Y189" s="4">
        <v>-6277</v>
      </c>
      <c r="Z189" s="4">
        <v>2908</v>
      </c>
      <c r="AA189" s="5" t="s">
        <v>195</v>
      </c>
      <c r="AB189" s="4">
        <v>1000</v>
      </c>
      <c r="AC189" s="3"/>
    </row>
    <row r="190" spans="20:29" ht="14.1" customHeight="1" x14ac:dyDescent="0.15">
      <c r="T190" s="3"/>
      <c r="U190" s="3"/>
      <c r="V190" s="3" t="s">
        <v>56</v>
      </c>
      <c r="W190" s="4">
        <v>1608</v>
      </c>
      <c r="X190" s="3"/>
      <c r="Y190" s="4">
        <v>-2984</v>
      </c>
      <c r="Z190" s="4">
        <v>6201</v>
      </c>
      <c r="AA190" s="5" t="s">
        <v>196</v>
      </c>
      <c r="AB190" s="4">
        <v>1000</v>
      </c>
      <c r="AC190" s="3"/>
    </row>
    <row r="191" spans="20:29" ht="14.1" customHeight="1" x14ac:dyDescent="0.15">
      <c r="T191" s="3"/>
      <c r="U191" s="3"/>
      <c r="V191" s="3" t="s">
        <v>57</v>
      </c>
      <c r="W191" s="5" t="s">
        <v>172</v>
      </c>
      <c r="X191" s="3"/>
      <c r="Y191" s="4">
        <v>-4023</v>
      </c>
      <c r="Z191" s="4">
        <v>5019</v>
      </c>
      <c r="AA191" s="5" t="s">
        <v>197</v>
      </c>
      <c r="AB191" s="4">
        <v>1000</v>
      </c>
      <c r="AC191" s="3"/>
    </row>
    <row r="192" spans="20:29" ht="14.1" customHeight="1" x14ac:dyDescent="0.15">
      <c r="T192" s="3"/>
      <c r="U192" s="3"/>
      <c r="V192" s="3" t="s">
        <v>58</v>
      </c>
      <c r="W192" s="4">
        <v>1179</v>
      </c>
      <c r="X192" s="3"/>
      <c r="Y192" s="4">
        <v>-3414</v>
      </c>
      <c r="Z192" s="4">
        <v>5771</v>
      </c>
      <c r="AA192" s="5" t="s">
        <v>176</v>
      </c>
      <c r="AB192" s="4">
        <v>1000</v>
      </c>
      <c r="AC192" s="3"/>
    </row>
    <row r="193" spans="20:29" ht="14.1" customHeight="1" x14ac:dyDescent="0.15">
      <c r="T193" s="3"/>
      <c r="U193" s="3"/>
      <c r="V193" s="3" t="s">
        <v>59</v>
      </c>
      <c r="W193" s="4">
        <v>1514</v>
      </c>
      <c r="X193" s="3"/>
      <c r="Y193" s="4">
        <v>-3078</v>
      </c>
      <c r="Z193" s="4">
        <v>6107</v>
      </c>
      <c r="AA193" s="5" t="s">
        <v>198</v>
      </c>
      <c r="AB193" s="4">
        <v>1000</v>
      </c>
      <c r="AC193" s="3"/>
    </row>
    <row r="194" spans="20:29" ht="14.1" customHeight="1" x14ac:dyDescent="0.15">
      <c r="T194" s="3"/>
      <c r="U194" s="3"/>
      <c r="V194" s="3" t="s">
        <v>60</v>
      </c>
      <c r="W194" s="4">
        <v>3702</v>
      </c>
      <c r="X194" s="3"/>
      <c r="Y194" s="5" t="s">
        <v>199</v>
      </c>
      <c r="Z194" s="4">
        <v>8223</v>
      </c>
      <c r="AA194" s="4">
        <v>1630</v>
      </c>
      <c r="AB194" s="5" t="s">
        <v>172</v>
      </c>
      <c r="AC194" s="3"/>
    </row>
    <row r="195" spans="20:29" ht="14.1" customHeight="1" x14ac:dyDescent="0.15">
      <c r="T195" s="3" t="s">
        <v>55</v>
      </c>
      <c r="U195" s="3"/>
      <c r="V195" s="3" t="s">
        <v>56</v>
      </c>
      <c r="W195" s="4">
        <v>3293</v>
      </c>
      <c r="X195" s="3"/>
      <c r="Y195" s="4">
        <v>-1300</v>
      </c>
      <c r="Z195" s="4">
        <v>7885</v>
      </c>
      <c r="AA195" s="4">
        <v>1450</v>
      </c>
      <c r="AB195" s="4">
        <v>1000</v>
      </c>
      <c r="AC195" s="3"/>
    </row>
    <row r="196" spans="20:29" ht="14.1" customHeight="1" x14ac:dyDescent="0.15">
      <c r="T196" s="3"/>
      <c r="U196" s="3"/>
      <c r="V196" s="3" t="s">
        <v>57</v>
      </c>
      <c r="W196" s="4">
        <v>2183</v>
      </c>
      <c r="X196" s="3"/>
      <c r="Y196" s="4">
        <v>-2409</v>
      </c>
      <c r="Z196" s="4">
        <v>6776</v>
      </c>
      <c r="AA196" s="5" t="s">
        <v>150</v>
      </c>
      <c r="AB196" s="4">
        <v>1000</v>
      </c>
      <c r="AC196" s="3"/>
    </row>
    <row r="197" spans="20:29" ht="14.1" customHeight="1" x14ac:dyDescent="0.15">
      <c r="T197" s="3"/>
      <c r="U197" s="3"/>
      <c r="V197" s="3" t="s">
        <v>58</v>
      </c>
      <c r="W197" s="4">
        <v>2864</v>
      </c>
      <c r="X197" s="3"/>
      <c r="Y197" s="4">
        <v>-1658</v>
      </c>
      <c r="Z197" s="4">
        <v>7385</v>
      </c>
      <c r="AA197" s="4">
        <v>1261</v>
      </c>
      <c r="AB197" s="4">
        <v>1000</v>
      </c>
      <c r="AC197" s="3"/>
    </row>
    <row r="198" spans="20:29" ht="14.1" customHeight="1" x14ac:dyDescent="0.15">
      <c r="T198" s="3"/>
      <c r="U198" s="3"/>
      <c r="V198" s="3" t="s">
        <v>59</v>
      </c>
      <c r="W198" s="4">
        <v>3199</v>
      </c>
      <c r="X198" s="3"/>
      <c r="Y198" s="4">
        <v>-1393</v>
      </c>
      <c r="Z198" s="4">
        <v>7792</v>
      </c>
      <c r="AA198" s="4">
        <v>1409</v>
      </c>
      <c r="AB198" s="4">
        <v>1000</v>
      </c>
      <c r="AC198" s="3"/>
    </row>
    <row r="199" spans="20:29" ht="14.1" customHeight="1" x14ac:dyDescent="0.15">
      <c r="T199" s="3"/>
      <c r="U199" s="3"/>
      <c r="V199" s="3" t="s">
        <v>60</v>
      </c>
      <c r="W199" s="4">
        <v>5386</v>
      </c>
      <c r="X199" s="3"/>
      <c r="Y199" s="5" t="s">
        <v>185</v>
      </c>
      <c r="Z199" s="4">
        <v>9979</v>
      </c>
      <c r="AA199" s="4">
        <v>2373</v>
      </c>
      <c r="AB199" s="5" t="s">
        <v>91</v>
      </c>
      <c r="AC199" s="3" t="s">
        <v>47</v>
      </c>
    </row>
    <row r="200" spans="20:29" ht="14.1" customHeight="1" x14ac:dyDescent="0.15">
      <c r="T200" s="3" t="s">
        <v>56</v>
      </c>
      <c r="U200" s="3"/>
      <c r="V200" s="3" t="s">
        <v>57</v>
      </c>
      <c r="W200" s="4">
        <v>-1110</v>
      </c>
      <c r="X200" s="3"/>
      <c r="Y200" s="4">
        <v>-5702</v>
      </c>
      <c r="Z200" s="4">
        <v>3483</v>
      </c>
      <c r="AA200" s="5" t="s">
        <v>200</v>
      </c>
      <c r="AB200" s="4">
        <v>1000</v>
      </c>
      <c r="AC200" s="3"/>
    </row>
    <row r="201" spans="20:29" ht="14.1" customHeight="1" x14ac:dyDescent="0.15">
      <c r="T201" s="3"/>
      <c r="U201" s="3"/>
      <c r="V201" s="3" t="s">
        <v>58</v>
      </c>
      <c r="W201" s="5" t="s">
        <v>35</v>
      </c>
      <c r="X201" s="3"/>
      <c r="Y201" s="4">
        <v>-5022</v>
      </c>
      <c r="Z201" s="4">
        <v>4163</v>
      </c>
      <c r="AA201" s="5" t="s">
        <v>201</v>
      </c>
      <c r="AB201" s="4">
        <v>1000</v>
      </c>
      <c r="AC201" s="3"/>
    </row>
    <row r="202" spans="20:29" ht="14.1" customHeight="1" x14ac:dyDescent="0.15">
      <c r="T202" s="3"/>
      <c r="U202" s="3"/>
      <c r="V202" s="3" t="s">
        <v>59</v>
      </c>
      <c r="W202" s="5" t="s">
        <v>202</v>
      </c>
      <c r="X202" s="3"/>
      <c r="Y202" s="4">
        <v>-4615</v>
      </c>
      <c r="Z202" s="4">
        <v>4427</v>
      </c>
      <c r="AA202" s="5" t="s">
        <v>203</v>
      </c>
      <c r="AB202" s="4">
        <v>1000</v>
      </c>
      <c r="AC202" s="3"/>
    </row>
    <row r="203" spans="20:29" ht="14.1" customHeight="1" x14ac:dyDescent="0.15">
      <c r="T203" s="3"/>
      <c r="U203" s="3"/>
      <c r="V203" s="3" t="s">
        <v>60</v>
      </c>
      <c r="W203" s="4">
        <v>2094</v>
      </c>
      <c r="X203" s="3"/>
      <c r="Y203" s="4">
        <v>-2499</v>
      </c>
      <c r="Z203" s="4">
        <v>6686</v>
      </c>
      <c r="AA203" s="5" t="s">
        <v>204</v>
      </c>
      <c r="AB203" s="4">
        <v>1000</v>
      </c>
      <c r="AC203" s="3"/>
    </row>
    <row r="204" spans="20:29" ht="14.1" customHeight="1" x14ac:dyDescent="0.15">
      <c r="T204" s="3" t="s">
        <v>57</v>
      </c>
      <c r="U204" s="3"/>
      <c r="V204" s="3" t="s">
        <v>58</v>
      </c>
      <c r="W204" s="5" t="s">
        <v>205</v>
      </c>
      <c r="X204" s="3"/>
      <c r="Y204" s="4">
        <v>-3912</v>
      </c>
      <c r="Z204" s="4">
        <v>5273</v>
      </c>
      <c r="AA204" s="5" t="s">
        <v>206</v>
      </c>
      <c r="AB204" s="4">
        <v>1000</v>
      </c>
      <c r="AC204" s="3"/>
    </row>
    <row r="205" spans="20:29" ht="14.1" customHeight="1" x14ac:dyDescent="0.15">
      <c r="T205" s="3"/>
      <c r="U205" s="3"/>
      <c r="V205" s="3" t="s">
        <v>59</v>
      </c>
      <c r="W205" s="4">
        <v>1016</v>
      </c>
      <c r="X205" s="3"/>
      <c r="Y205" s="4">
        <v>-3576</v>
      </c>
      <c r="Z205" s="4">
        <v>5609</v>
      </c>
      <c r="AA205" s="5" t="s">
        <v>178</v>
      </c>
      <c r="AB205" s="4">
        <v>1000</v>
      </c>
      <c r="AC205" s="3"/>
    </row>
    <row r="206" spans="20:29" ht="14.1" customHeight="1" x14ac:dyDescent="0.15">
      <c r="T206" s="3"/>
      <c r="U206" s="3"/>
      <c r="V206" s="3" t="s">
        <v>60</v>
      </c>
      <c r="W206" s="4">
        <v>3203</v>
      </c>
      <c r="X206" s="3"/>
      <c r="Y206" s="4">
        <v>-1318</v>
      </c>
      <c r="Z206" s="4">
        <v>7725</v>
      </c>
      <c r="AA206" s="4">
        <v>1411</v>
      </c>
      <c r="AB206" s="4">
        <v>1000</v>
      </c>
      <c r="AC206" s="3"/>
    </row>
    <row r="207" spans="20:29" ht="14.1" customHeight="1" x14ac:dyDescent="0.15">
      <c r="T207" s="3" t="s">
        <v>58</v>
      </c>
      <c r="U207" s="3"/>
      <c r="V207" s="3" t="s">
        <v>59</v>
      </c>
      <c r="W207" s="5" t="s">
        <v>207</v>
      </c>
      <c r="X207" s="3"/>
      <c r="Y207" s="4">
        <v>-4257</v>
      </c>
      <c r="Z207" s="4">
        <v>4928</v>
      </c>
      <c r="AA207" s="5" t="s">
        <v>208</v>
      </c>
      <c r="AB207" s="4">
        <v>1000</v>
      </c>
      <c r="AC207" s="3"/>
    </row>
    <row r="208" spans="20:29" ht="14.1" customHeight="1" x14ac:dyDescent="0.15">
      <c r="T208" s="3"/>
      <c r="U208" s="3"/>
      <c r="V208" s="3" t="s">
        <v>60</v>
      </c>
      <c r="W208" s="4">
        <v>2523</v>
      </c>
      <c r="X208" s="3"/>
      <c r="Y208" s="4">
        <v>-2070</v>
      </c>
      <c r="Z208" s="4">
        <v>7115</v>
      </c>
      <c r="AA208" s="4">
        <v>1111</v>
      </c>
      <c r="AB208" s="4">
        <v>1000</v>
      </c>
      <c r="AC208" s="3"/>
    </row>
    <row r="209" spans="20:29" ht="14.1" customHeight="1" x14ac:dyDescent="0.15">
      <c r="T209" s="3" t="s">
        <v>59</v>
      </c>
      <c r="U209" s="3"/>
      <c r="V209" s="3" t="s">
        <v>60</v>
      </c>
      <c r="W209" s="4">
        <v>2187</v>
      </c>
      <c r="X209" s="3"/>
      <c r="Y209" s="4">
        <v>-2405</v>
      </c>
      <c r="Z209" s="4">
        <v>6780</v>
      </c>
      <c r="AA209" s="5" t="s">
        <v>148</v>
      </c>
      <c r="AB209" s="4">
        <v>1000</v>
      </c>
      <c r="AC209" s="3"/>
    </row>
    <row r="210" spans="20:29" ht="14.1" customHeight="1" thickBot="1" x14ac:dyDescent="0.2"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</row>
    <row r="211" spans="20:29" ht="14.1" customHeight="1" thickTop="1" x14ac:dyDescent="0.15">
      <c r="T211" s="144" t="s">
        <v>209</v>
      </c>
      <c r="U211" s="144"/>
      <c r="V211" s="144"/>
      <c r="W211" s="144"/>
      <c r="X211" s="144"/>
      <c r="Y211" s="144"/>
      <c r="Z211" s="144"/>
      <c r="AA211" s="144"/>
      <c r="AB211" s="144"/>
      <c r="AC211" s="144"/>
    </row>
    <row r="212" spans="20:29" ht="14.1" customHeight="1" x14ac:dyDescent="0.15">
      <c r="T212" s="145" t="s">
        <v>210</v>
      </c>
      <c r="U212" s="145"/>
      <c r="V212" s="145"/>
      <c r="W212" s="145"/>
      <c r="X212" s="145"/>
      <c r="Y212" s="145"/>
      <c r="Z212" s="145"/>
      <c r="AA212" s="145"/>
      <c r="AB212" s="145"/>
      <c r="AC212" s="145"/>
    </row>
  </sheetData>
  <mergeCells count="40">
    <mergeCell ref="T211:AC211"/>
    <mergeCell ref="T212:AC212"/>
    <mergeCell ref="AE69:AK69"/>
    <mergeCell ref="AE70:AK70"/>
    <mergeCell ref="AE71:AK71"/>
    <mergeCell ref="AE72:AK72"/>
    <mergeCell ref="AE73:AK73"/>
    <mergeCell ref="T210:AC210"/>
    <mergeCell ref="AE49:AE68"/>
    <mergeCell ref="AF49:AF52"/>
    <mergeCell ref="AF53:AF56"/>
    <mergeCell ref="AF57:AF60"/>
    <mergeCell ref="AF61:AF64"/>
    <mergeCell ref="AF65:AF68"/>
    <mergeCell ref="AE29:AE48"/>
    <mergeCell ref="AF29:AF32"/>
    <mergeCell ref="AF33:AF36"/>
    <mergeCell ref="AF37:AF40"/>
    <mergeCell ref="AF41:AF44"/>
    <mergeCell ref="AF45:AF48"/>
    <mergeCell ref="AE8:AE28"/>
    <mergeCell ref="AF8:AF12"/>
    <mergeCell ref="AF13:AF16"/>
    <mergeCell ref="AF17:AF20"/>
    <mergeCell ref="AF21:AF24"/>
    <mergeCell ref="AF25:AF28"/>
    <mergeCell ref="U5:V5"/>
    <mergeCell ref="X5:Y5"/>
    <mergeCell ref="AC5:AD5"/>
    <mergeCell ref="AE5:AK5"/>
    <mergeCell ref="AE6:AG7"/>
    <mergeCell ref="AH6:AH7"/>
    <mergeCell ref="AI6:AI7"/>
    <mergeCell ref="AJ6:AK6"/>
    <mergeCell ref="AE4:AK4"/>
    <mergeCell ref="B2:D2"/>
    <mergeCell ref="U3:AD3"/>
    <mergeCell ref="U4:Y4"/>
    <mergeCell ref="Z4:AA4"/>
    <mergeCell ref="AC4:AD4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 gerais</vt:lpstr>
      <vt:lpstr>Deformação</vt:lpstr>
      <vt:lpstr>Gráfico deformação</vt:lpstr>
      <vt:lpstr>Planilha3</vt:lpstr>
      <vt:lpstr>Gráfico secante</vt:lpstr>
      <vt:lpstr>resistencia a tração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Diego Vidal Santos</cp:lastModifiedBy>
  <dcterms:created xsi:type="dcterms:W3CDTF">2011-08-01T14:22:18Z</dcterms:created>
  <dcterms:modified xsi:type="dcterms:W3CDTF">2025-02-27T13:55:01Z</dcterms:modified>
</cp:coreProperties>
</file>