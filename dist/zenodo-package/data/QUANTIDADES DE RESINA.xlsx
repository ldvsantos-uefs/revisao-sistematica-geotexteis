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sbr-my.sharepoint.com/personal/201600111492_office_ufs_br/Documents/ACADEMICO/UFS/POS/PATENTES/PATENTE TABOA/"/>
    </mc:Choice>
  </mc:AlternateContent>
  <xr:revisionPtr revIDLastSave="7" documentId="8_{28B7B00E-C246-4B9B-AAB4-B7877DCF2C27}" xr6:coauthVersionLast="47" xr6:coauthVersionMax="47" xr10:uidLastSave="{76332888-D81B-4011-88FB-F414D66E2139}"/>
  <bookViews>
    <workbookView xWindow="-108" yWindow="-108" windowWidth="23256" windowHeight="12456" xr2:uid="{DEAE9089-04E2-4B40-9260-7309543DC2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 s="1"/>
  <c r="P7" i="1" s="1"/>
  <c r="P3" i="1"/>
  <c r="R7" i="1"/>
  <c r="N7" i="1"/>
  <c r="K7" i="1"/>
  <c r="I7" i="1"/>
  <c r="G7" i="1"/>
  <c r="G6" i="1"/>
  <c r="I6" i="1"/>
  <c r="K6" i="1"/>
  <c r="R6" i="1"/>
  <c r="N6" i="1"/>
  <c r="R4" i="1"/>
  <c r="R5" i="1"/>
  <c r="R3" i="1"/>
  <c r="P4" i="1"/>
  <c r="N4" i="1"/>
  <c r="N5" i="1"/>
  <c r="K4" i="1"/>
  <c r="K5" i="1"/>
  <c r="K3" i="1"/>
  <c r="I4" i="1"/>
  <c r="I5" i="1"/>
  <c r="I3" i="1"/>
  <c r="G4" i="1"/>
  <c r="G5" i="1"/>
  <c r="G3" i="1"/>
</calcChain>
</file>

<file path=xl/sharedStrings.xml><?xml version="1.0" encoding="utf-8"?>
<sst xmlns="http://schemas.openxmlformats.org/spreadsheetml/2006/main" count="21" uniqueCount="15">
  <si>
    <t>Rep 1</t>
  </si>
  <si>
    <t>Rep 2</t>
  </si>
  <si>
    <t>Rep 3</t>
  </si>
  <si>
    <t xml:space="preserve">Ouricuri </t>
  </si>
  <si>
    <t>Taboa</t>
  </si>
  <si>
    <t>Junco</t>
  </si>
  <si>
    <t>Sem resina</t>
  </si>
  <si>
    <t>Camada simples</t>
  </si>
  <si>
    <t>Camada dupla</t>
  </si>
  <si>
    <t>Quantidade Ouricuri</t>
  </si>
  <si>
    <t>Quantidade Taboa</t>
  </si>
  <si>
    <t>Quantidade Junco</t>
  </si>
  <si>
    <t>Quantidade Ouricuri (g)</t>
  </si>
  <si>
    <t>Quantidade Taboa (g)</t>
  </si>
  <si>
    <t>Quantidade Junco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</si>
</sst>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2F2C-9857-49FA-B156-B9278F44E5B7}">
  <dimension ref="A1:T7"/>
  <sheetViews>
    <sheetView tabSelected="1" workbookViewId="0">
      <selection activeCell="K6" sqref="K6"/>
    </sheetView>
  </sheetViews>
  <sheetFormatPr defaultRowHeight="14.4" x14ac:dyDescent="0.3"/>
  <cols>
    <col min="5" max="5" width="9" customWidth="1"/>
    <col min="6" max="6" width="13.5546875" customWidth="1"/>
    <col min="7" max="7" width="12" bestFit="1" customWidth="1"/>
    <col min="8" max="8" width="11.5546875" customWidth="1"/>
    <col min="9" max="9" width="12" bestFit="1" customWidth="1"/>
    <col min="10" max="10" width="10.6640625" customWidth="1"/>
    <col min="11" max="11" width="8.44140625" bestFit="1" customWidth="1"/>
  </cols>
  <sheetData>
    <row r="1" spans="1:20" s="3" customFormat="1" ht="14.4" customHeight="1" x14ac:dyDescent="0.3">
      <c r="B1" s="2" t="s">
        <v>6</v>
      </c>
      <c r="C1" s="2"/>
      <c r="D1" s="2"/>
      <c r="E1" s="1"/>
      <c r="F1" s="2" t="s">
        <v>7</v>
      </c>
      <c r="G1" s="2"/>
      <c r="H1" s="2"/>
      <c r="I1" s="2"/>
      <c r="J1" s="2"/>
      <c r="K1" s="2"/>
      <c r="M1" s="2" t="s">
        <v>8</v>
      </c>
      <c r="N1" s="2"/>
      <c r="O1" s="2"/>
      <c r="P1" s="2"/>
      <c r="Q1" s="2"/>
      <c r="R1" s="2"/>
      <c r="T1" s="4"/>
    </row>
    <row r="2" spans="1:20" s="3" customFormat="1" ht="43.2" x14ac:dyDescent="0.3">
      <c r="B2" s="3" t="s">
        <v>3</v>
      </c>
      <c r="C2" s="3" t="s">
        <v>4</v>
      </c>
      <c r="D2" s="3" t="s">
        <v>5</v>
      </c>
      <c r="F2" s="3" t="s">
        <v>3</v>
      </c>
      <c r="G2" s="3" t="s">
        <v>12</v>
      </c>
      <c r="H2" s="3" t="s">
        <v>4</v>
      </c>
      <c r="I2" s="3" t="s">
        <v>13</v>
      </c>
      <c r="J2" s="3" t="s">
        <v>5</v>
      </c>
      <c r="K2" s="3" t="s">
        <v>14</v>
      </c>
      <c r="M2" s="3" t="s">
        <v>3</v>
      </c>
      <c r="N2" s="3" t="s">
        <v>9</v>
      </c>
      <c r="O2" s="3" t="s">
        <v>4</v>
      </c>
      <c r="P2" s="3" t="s">
        <v>10</v>
      </c>
      <c r="Q2" s="3" t="s">
        <v>5</v>
      </c>
      <c r="R2" s="3" t="s">
        <v>11</v>
      </c>
    </row>
    <row r="3" spans="1:20" x14ac:dyDescent="0.3">
      <c r="A3" t="s">
        <v>0</v>
      </c>
      <c r="B3">
        <v>0.23699999999999999</v>
      </c>
      <c r="C3">
        <v>0.20200000000000001</v>
      </c>
      <c r="D3">
        <v>0.38100000000000001</v>
      </c>
      <c r="F3">
        <v>0.25900000000000001</v>
      </c>
      <c r="G3">
        <f>F3-B3</f>
        <v>2.200000000000002E-2</v>
      </c>
      <c r="H3">
        <v>0.22159999999999999</v>
      </c>
      <c r="I3">
        <f>H3-C3</f>
        <v>1.9599999999999979E-2</v>
      </c>
      <c r="J3">
        <v>0.39529999999999998</v>
      </c>
      <c r="K3">
        <f>J3-D3</f>
        <v>1.4299999999999979E-2</v>
      </c>
      <c r="M3">
        <v>0.2109</v>
      </c>
      <c r="O3">
        <v>0.40089999999999998</v>
      </c>
      <c r="P3">
        <f>O3-C3</f>
        <v>0.19889999999999997</v>
      </c>
      <c r="Q3">
        <v>0.4274</v>
      </c>
      <c r="R3">
        <f>Q3-D3</f>
        <v>4.6399999999999997E-2</v>
      </c>
    </row>
    <row r="4" spans="1:20" x14ac:dyDescent="0.3">
      <c r="A4" t="s">
        <v>1</v>
      </c>
      <c r="B4">
        <v>0.23799999999999999</v>
      </c>
      <c r="C4">
        <v>0.35099999999999998</v>
      </c>
      <c r="D4">
        <v>0.33700000000000002</v>
      </c>
      <c r="F4">
        <v>0.26300000000000001</v>
      </c>
      <c r="G4">
        <f t="shared" ref="G4:G5" si="0">F4-B4</f>
        <v>2.5000000000000022E-2</v>
      </c>
      <c r="H4">
        <v>0.38590000000000002</v>
      </c>
      <c r="I4">
        <f t="shared" ref="I3:K5" si="1">H4-C4</f>
        <v>3.4900000000000042E-2</v>
      </c>
      <c r="J4">
        <v>0.36599999999999999</v>
      </c>
      <c r="K4">
        <f t="shared" ref="K4:K5" si="2">J4-D4</f>
        <v>2.899999999999997E-2</v>
      </c>
      <c r="M4">
        <v>0.27910000000000001</v>
      </c>
      <c r="N4">
        <f t="shared" ref="N4:N5" si="3">M4-B4</f>
        <v>4.1100000000000025E-2</v>
      </c>
      <c r="O4">
        <v>0.42520000000000002</v>
      </c>
      <c r="P4">
        <f t="shared" ref="P3:P5" si="4">O4-C4</f>
        <v>7.4200000000000044E-2</v>
      </c>
      <c r="Q4">
        <v>0.43099999999999999</v>
      </c>
      <c r="R4">
        <f t="shared" ref="R4:R5" si="5">Q4-D4</f>
        <v>9.3999999999999972E-2</v>
      </c>
    </row>
    <row r="5" spans="1:20" x14ac:dyDescent="0.3">
      <c r="A5" t="s">
        <v>2</v>
      </c>
      <c r="B5">
        <v>0.25</v>
      </c>
      <c r="C5">
        <v>0.70099999999999996</v>
      </c>
      <c r="D5">
        <v>0.17199999999999999</v>
      </c>
      <c r="F5">
        <v>0.27900000000000003</v>
      </c>
      <c r="G5">
        <f t="shared" si="0"/>
        <v>2.9000000000000026E-2</v>
      </c>
      <c r="H5">
        <v>0.76</v>
      </c>
      <c r="I5">
        <f t="shared" si="1"/>
        <v>5.9000000000000052E-2</v>
      </c>
      <c r="J5">
        <v>0.18720000000000001</v>
      </c>
      <c r="K5">
        <f t="shared" si="2"/>
        <v>1.5200000000000019E-2</v>
      </c>
      <c r="M5">
        <v>0.28849999999999998</v>
      </c>
      <c r="N5">
        <f t="shared" si="3"/>
        <v>3.8499999999999979E-2</v>
      </c>
      <c r="O5">
        <v>0.66790000000000005</v>
      </c>
      <c r="P5">
        <f>C5-O5</f>
        <v>3.3099999999999907E-2</v>
      </c>
      <c r="Q5">
        <v>0.2029</v>
      </c>
      <c r="R5">
        <f t="shared" si="5"/>
        <v>3.0900000000000011E-2</v>
      </c>
    </row>
    <row r="6" spans="1:20" x14ac:dyDescent="0.3">
      <c r="G6">
        <f>AVERAGE(G3:G5)</f>
        <v>2.5333333333333357E-2</v>
      </c>
      <c r="I6">
        <f>AVERAGE(I3:I5)</f>
        <v>3.7833333333333358E-2</v>
      </c>
      <c r="K6">
        <f>AVERAGE(K3:K5)</f>
        <v>1.949999999999999E-2</v>
      </c>
      <c r="N6">
        <f>AVERAGE(N3:N5)</f>
        <v>3.9800000000000002E-2</v>
      </c>
      <c r="P6">
        <f>AVERAGE(P3:P5)</f>
        <v>0.10206666666666664</v>
      </c>
      <c r="R6">
        <f>AVERAGE(R3:R5)</f>
        <v>5.7099999999999991E-2</v>
      </c>
    </row>
    <row r="7" spans="1:20" x14ac:dyDescent="0.3">
      <c r="G7" s="5">
        <f>CONVERT(G6,"g","mg")</f>
        <v>25.333333333333357</v>
      </c>
      <c r="I7">
        <f>CONVERT(I6,"g","mg")</f>
        <v>37.833333333333357</v>
      </c>
      <c r="K7">
        <f>CONVERT(K6,"g","mg")</f>
        <v>19.499999999999989</v>
      </c>
      <c r="N7">
        <f>CONVERT(N6,"g","mg")</f>
        <v>39.800000000000004</v>
      </c>
      <c r="P7">
        <f>CONVERT(P6,"g","mg")</f>
        <v>102.06666666666663</v>
      </c>
      <c r="R7">
        <f>CONVERT(R6,"g","mg")</f>
        <v>57.099999999999994</v>
      </c>
    </row>
  </sheetData>
  <mergeCells count="3">
    <mergeCell ref="M1:R1"/>
    <mergeCell ref="B1:D1"/>
    <mergeCell ref="F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Luiz Diego Vidal Santos</cp:lastModifiedBy>
  <dcterms:created xsi:type="dcterms:W3CDTF">2023-03-15T17:44:30Z</dcterms:created>
  <dcterms:modified xsi:type="dcterms:W3CDTF">2023-03-15T20:24:56Z</dcterms:modified>
</cp:coreProperties>
</file>